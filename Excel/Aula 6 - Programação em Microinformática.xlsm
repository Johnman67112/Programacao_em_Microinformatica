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load_planilha" defaultThemeVersion="124226"/>
  <mc:AlternateContent xmlns:mc="http://schemas.openxmlformats.org/markup-compatibility/2006">
    <mc:Choice Requires="x15">
      <x15ac:absPath xmlns:x15ac="http://schemas.microsoft.com/office/spreadsheetml/2010/11/ac" url="C:\Users\joaov\Desktop\Fatec\Programação em Microinformática\Material\"/>
    </mc:Choice>
  </mc:AlternateContent>
  <xr:revisionPtr revIDLastSave="0" documentId="13_ncr:1_{99C530B6-1331-4812-A5E2-9E59A6CCCD9D}" xr6:coauthVersionLast="45" xr6:coauthVersionMax="45" xr10:uidLastSave="{00000000-0000-0000-0000-000000000000}"/>
  <bookViews>
    <workbookView minimized="1" xWindow="2580" yWindow="2580" windowWidth="17280" windowHeight="8964" tabRatio="777" firstSheet="1" activeTab="8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inâmica Tabela" sheetId="11" r:id="rId6"/>
    <sheet name="DADOS GRÁFICO" sheetId="7" r:id="rId7"/>
    <sheet name="Paragráfico" sheetId="12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1" i="2" l="1"/>
  <c r="H12" i="2"/>
  <c r="H13" i="2"/>
  <c r="H14" i="2"/>
  <c r="H15" i="2"/>
  <c r="H16" i="2"/>
  <c r="H17" i="2"/>
  <c r="H18" i="2"/>
  <c r="H10" i="2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R18" i="2" l="1"/>
  <c r="R17" i="2"/>
  <c r="R16" i="2"/>
  <c r="P18" i="2"/>
  <c r="P17" i="2"/>
  <c r="P16" i="2"/>
  <c r="I10" i="2"/>
  <c r="P13" i="2" s="1"/>
  <c r="P11" i="2"/>
  <c r="P10" i="2"/>
  <c r="I18" i="2"/>
  <c r="I17" i="2"/>
  <c r="I16" i="2"/>
  <c r="I15" i="2"/>
  <c r="I14" i="2"/>
  <c r="I13" i="2"/>
  <c r="I12" i="2"/>
  <c r="I11" i="2"/>
  <c r="P14" i="2" s="1"/>
  <c r="H20" i="2" l="1"/>
  <c r="P12" i="2"/>
  <c r="P15" i="2"/>
  <c r="H23" i="2" l="1"/>
  <c r="H24" i="2" s="1"/>
  <c r="H22" i="2"/>
</calcChain>
</file>

<file path=xl/sharedStrings.xml><?xml version="1.0" encoding="utf-8"?>
<sst xmlns="http://schemas.openxmlformats.org/spreadsheetml/2006/main" count="522" uniqueCount="189">
  <si>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</si>
  <si>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</si>
  <si>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</si>
  <si>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</si>
  <si>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</si>
  <si>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</si>
  <si>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</si>
  <si>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</si>
  <si>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</si>
  <si>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</si>
  <si>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</si>
  <si>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</si>
  <si>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</si>
  <si>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</si>
  <si>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</si>
  <si>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</si>
  <si>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</si>
  <si>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</si>
  <si>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</si>
  <si>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</si>
  <si>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</si>
  <si>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</si>
  <si>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</si>
  <si>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</si>
  <si>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</si>
  <si>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</si>
  <si>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</si>
  <si>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</si>
  <si>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</si>
  <si>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</si>
  <si>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</si>
  <si>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</si>
  <si>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</si>
  <si>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</si>
  <si>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</si>
  <si>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</si>
  <si>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</si>
  <si>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</si>
  <si>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</si>
  <si>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</si>
  <si>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</si>
  <si>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</si>
  <si>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</si>
  <si>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</si>
  <si>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</si>
  <si>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</si>
  <si>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</si>
  <si>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</si>
  <si>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</si>
  <si>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</si>
  <si>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</si>
  <si>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</si>
  <si>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</si>
  <si>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</si>
  <si>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</si>
  <si>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</si>
  <si>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</si>
  <si>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</si>
  <si>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</si>
  <si>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</si>
  <si>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</si>
  <si>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</si>
  <si>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</si>
  <si>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</si>
  <si>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</si>
  <si>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</si>
  <si>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</si>
  <si>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</si>
  <si>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</si>
  <si>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</si>
  <si>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</si>
  <si>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</si>
  <si>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</si>
  <si>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</si>
  <si>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</si>
  <si>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</si>
  <si>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</si>
  <si>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</si>
  <si>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</si>
  <si>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</si>
  <si>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</si>
  <si>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</si>
  <si>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</si>
  <si>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</si>
  <si>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</si>
  <si>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</si>
  <si>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</si>
  <si>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</si>
  <si>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</si>
  <si>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</si>
  <si>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</si>
  <si>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</si>
  <si>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</si>
  <si>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</si>
  <si>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</si>
  <si>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</si>
  <si>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</si>
  <si>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</si>
  <si>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</si>
  <si>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</si>
  <si>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</si>
  <si>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</si>
  <si>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</si>
  <si>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</si>
  <si>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</si>
  <si>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</si>
  <si>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</si>
  <si>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</si>
  <si>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</si>
  <si>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</si>
  <si>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</si>
  <si>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</si>
  <si>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</si>
  <si>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</si>
  <si>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</si>
  <si>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</si>
  <si>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</si>
  <si>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</si>
  <si>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</si>
  <si>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</si>
  <si>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</si>
  <si>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</si>
  <si>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</si>
  <si>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</si>
  <si>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</si>
  <si>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</si>
  <si>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</si>
  <si>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</si>
  <si>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</si>
  <si>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</si>
  <si>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</si>
  <si>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</si>
  <si>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</si>
  <si>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</si>
  <si>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</si>
  <si>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</si>
  <si>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</si>
  <si>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</si>
  <si>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</si>
  <si>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</si>
  <si>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</si>
  <si>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</si>
  <si>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</si>
  <si>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</si>
  <si>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</si>
  <si>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</si>
  <si>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</si>
  <si>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</si>
  <si>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</si>
  <si>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</si>
  <si>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</si>
  <si>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VALOR UNITÁRIO</t>
  </si>
  <si>
    <t>111</t>
  </si>
  <si>
    <t>MOQUIDÉSIA CRISTIANE</t>
  </si>
  <si>
    <t>222</t>
  </si>
  <si>
    <t xml:space="preserve">TIMCHIP INFINITY PRÉ - 128KB </t>
  </si>
  <si>
    <t>ELETRÔNICOS</t>
  </si>
  <si>
    <t>10</t>
  </si>
  <si>
    <t>12</t>
  </si>
  <si>
    <t>666</t>
  </si>
  <si>
    <t>LÚCIFER MORNINGSTAR</t>
  </si>
  <si>
    <t>MONITOR LCD 19'' AOC</t>
  </si>
  <si>
    <t>550</t>
  </si>
  <si>
    <t>777</t>
  </si>
  <si>
    <t>RAFFA MOREIRA MANO SKRR SKRR SKRR</t>
  </si>
  <si>
    <t>MOTOROLA EX115 PRETO - GSM</t>
  </si>
  <si>
    <t>10000</t>
  </si>
  <si>
    <t>660</t>
  </si>
  <si>
    <t>07068093868</t>
  </si>
  <si>
    <t>LUIZ IGNÁCIO "LULA LADRÃO QUE ROUBOU MEU CORAÇÃO" DA SILVA</t>
  </si>
  <si>
    <t>13</t>
  </si>
  <si>
    <t>NOTEBOOK DELL</t>
  </si>
  <si>
    <t>1000</t>
  </si>
  <si>
    <t>1890</t>
  </si>
  <si>
    <t>6666666666</t>
  </si>
  <si>
    <t>LUCIRALDO DA SILVA</t>
  </si>
  <si>
    <t>6666666</t>
  </si>
  <si>
    <t>PEN DRIVE 4GB</t>
  </si>
  <si>
    <t>50</t>
  </si>
  <si>
    <t>29</t>
  </si>
  <si>
    <t>44444</t>
  </si>
  <si>
    <t>PORTUGAL</t>
  </si>
  <si>
    <t>0000000012</t>
  </si>
  <si>
    <t>rtsagef</t>
  </si>
  <si>
    <t>OU,YSGBDRTEVF</t>
  </si>
  <si>
    <t>yjmghundtfs</t>
  </si>
  <si>
    <t>NOTEBOOK SONY VAIO</t>
  </si>
  <si>
    <t>INFORMÁTICA</t>
  </si>
  <si>
    <t>3120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</si>
</sst>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5" fillId="0" borderId="0" xfId="0" applyFon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font>
        <u/>
      </font>
    </dxf>
  </dxfs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1-4EE6-98BE-C42B3E85BA68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1-4EE6-98BE-C42B3E85BA68}"/>
            </c:ext>
          </c:extLst>
        </c:ser>
        <c:ser>
          <c:idx val="2"/>
          <c:order val="2"/>
          <c:tx>
            <c:v>Projeções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1-4EE6-98BE-C42B3E85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813330575"/>
        <c:axId val="1101948495"/>
      </c:lineChart>
      <c:catAx>
        <c:axId val="8133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48495"/>
        <c:crosses val="autoZero"/>
        <c:auto val="1"/>
        <c:lblAlgn val="ctr"/>
        <c:lblOffset val="100"/>
        <c:noMultiLvlLbl val="0"/>
      </c:catAx>
      <c:valAx>
        <c:axId val="1101948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33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753705-2A18-4576-9528-48BED7E3E746}">
  <sheetPr codeName="Grafico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6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078355"/>
          <a:ext cx="3800475" cy="235839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exit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19</xdr:row>
          <xdr:rowOff>198120</xdr:rowOff>
        </xdr:from>
        <xdr:to>
          <xdr:col>9</xdr:col>
          <xdr:colOff>373380</xdr:colOff>
          <xdr:row>20</xdr:row>
          <xdr:rowOff>182880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67.61134664352" createdVersion="6" refreshedVersion="6" minRefreshableVersion="3" recordCount="14" xr:uid="{C9C034C9-B3DE-483D-B6B1-7AFEAD3D3DE9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22E8D-FC98-4510-AF83-1870BA0CDAE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dataOnly="0" labelOnly="1" outline="0" fieldPosition="0">
        <references count="1">
          <reference field="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workbookViewId="0">
      <selection activeCell="S12" sqref="S12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5"/>
  <sheetViews>
    <sheetView showGridLines="0" zoomScaleNormal="100" workbookViewId="0">
      <selection activeCell="H24" sqref="H24:J24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1</v>
      </c>
    </row>
    <row r="2" spans="1:21" ht="18" thickBot="1" x14ac:dyDescent="0.35">
      <c r="B2" s="102" t="s">
        <v>3</v>
      </c>
      <c r="C2" s="101"/>
      <c r="D2" s="7"/>
      <c r="E2" s="174"/>
      <c r="F2" s="174"/>
      <c r="G2" s="174"/>
      <c r="H2" s="174"/>
      <c r="I2" s="174"/>
      <c r="J2" s="174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5" t="s">
        <v>2</v>
      </c>
      <c r="C4" s="176"/>
      <c r="D4" s="176"/>
      <c r="E4" s="176"/>
      <c r="F4" s="176"/>
      <c r="G4" s="176"/>
      <c r="H4" s="176"/>
      <c r="I4" s="176"/>
      <c r="J4" s="177"/>
    </row>
    <row r="5" spans="1:21" ht="15.9" customHeight="1" x14ac:dyDescent="0.3">
      <c r="B5" s="89" t="s">
        <v>0</v>
      </c>
      <c r="C5" s="178"/>
      <c r="D5" s="179"/>
      <c r="E5" s="179"/>
      <c r="F5" s="179"/>
      <c r="G5" s="179"/>
      <c r="H5" s="179"/>
      <c r="I5" s="179"/>
      <c r="J5" s="180"/>
    </row>
    <row r="6" spans="1:21" ht="15.9" customHeight="1" thickBot="1" x14ac:dyDescent="0.35">
      <c r="B6" s="90" t="s">
        <v>1</v>
      </c>
      <c r="C6" s="181"/>
      <c r="D6" s="182"/>
      <c r="E6" s="185" t="s">
        <v>91</v>
      </c>
      <c r="F6" s="186"/>
      <c r="G6" s="181"/>
      <c r="H6" s="183"/>
      <c r="I6" s="183"/>
      <c r="J6" s="184"/>
      <c r="U6" s="88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40" t="s">
        <v>8</v>
      </c>
      <c r="C8" s="140"/>
      <c r="D8" s="140"/>
      <c r="E8" s="140"/>
      <c r="F8" s="140"/>
      <c r="G8" s="140"/>
      <c r="H8" s="140"/>
      <c r="I8" s="140"/>
      <c r="J8" s="140"/>
      <c r="L8" s="124" t="s">
        <v>12</v>
      </c>
      <c r="M8" s="125"/>
      <c r="N8" s="125"/>
      <c r="O8" s="125"/>
      <c r="P8" s="125"/>
      <c r="Q8" s="126"/>
    </row>
    <row r="9" spans="1:21" ht="15.9" customHeight="1" thickBot="1" x14ac:dyDescent="0.35">
      <c r="B9" s="97" t="s">
        <v>13</v>
      </c>
      <c r="C9" s="146" t="s">
        <v>14</v>
      </c>
      <c r="D9" s="146"/>
      <c r="E9" s="146"/>
      <c r="F9" s="97" t="s">
        <v>15</v>
      </c>
      <c r="G9" s="97" t="s">
        <v>16</v>
      </c>
      <c r="H9" s="97" t="s">
        <v>17</v>
      </c>
      <c r="I9" s="146" t="s">
        <v>18</v>
      </c>
      <c r="J9" s="146"/>
      <c r="L9" s="127"/>
      <c r="M9" s="128"/>
      <c r="N9" s="128"/>
      <c r="O9" s="128"/>
      <c r="P9" s="128"/>
      <c r="Q9" s="129"/>
    </row>
    <row r="10" spans="1:21" ht="15.9" customHeight="1" x14ac:dyDescent="0.3">
      <c r="B10" s="98">
        <v>2000</v>
      </c>
      <c r="C10" s="148" t="str">
        <f>IF(B10&lt;&gt;"",VLOOKUP(B10,PEDIDOS!$B$9:$E$34,2,FALSE),"")</f>
        <v>Mouse Óptico sem fio Microsoft</v>
      </c>
      <c r="D10" s="148"/>
      <c r="E10" s="148"/>
      <c r="F10" s="98" t="str">
        <f>IF(B10&lt;&gt;"",VLOOKUP(B10,PEDIDOS!$B$9:$E$34,4,FALSE),"")</f>
        <v>Informática</v>
      </c>
      <c r="G10" s="99">
        <v>1</v>
      </c>
      <c r="H10" s="100">
        <f>IF(B10&lt;&gt;"",VLOOKUP(B10,PEDIDOS!$B$9:$E$34,3,FALSE),"")</f>
        <v>65</v>
      </c>
      <c r="I10" s="147">
        <f>IF(OR(G10="",H10=""),"",PRODUCT(G10:H10))</f>
        <v>65</v>
      </c>
      <c r="J10" s="147"/>
      <c r="L10" s="141" t="s">
        <v>110</v>
      </c>
      <c r="M10" s="142"/>
      <c r="N10" s="142"/>
      <c r="O10" s="143"/>
      <c r="P10" s="144">
        <f>SMALL(H10:H18,2)</f>
        <v>65</v>
      </c>
      <c r="Q10" s="145"/>
    </row>
    <row r="11" spans="1:21" ht="15.9" customHeight="1" x14ac:dyDescent="0.3">
      <c r="B11" s="98">
        <v>2005</v>
      </c>
      <c r="C11" s="148" t="str">
        <f>IF(B11&lt;&gt;"",VLOOKUP(B11,PEDIDOS!$B$9:$E$34,2,FALSE),"")</f>
        <v>Telefone sem fio Motorola</v>
      </c>
      <c r="D11" s="148"/>
      <c r="E11" s="148"/>
      <c r="F11" s="98" t="str">
        <f>IF(B11&lt;&gt;"",VLOOKUP(B11,PEDIDOS!$B$9:$E$34,4,FALSE),"")</f>
        <v>Telefonia</v>
      </c>
      <c r="G11" s="99">
        <v>2</v>
      </c>
      <c r="H11" s="100">
        <f>IF(B11&lt;&gt;"",VLOOKUP(B11,PEDIDOS!$B$9:$E$34,3,FALSE),"")</f>
        <v>125</v>
      </c>
      <c r="I11" s="147">
        <f t="shared" ref="I11:I18" si="0">IF(OR(G11="",H11=""),"",PRODUCT(G11:H11))</f>
        <v>250</v>
      </c>
      <c r="J11" s="147"/>
      <c r="L11" s="134" t="s">
        <v>111</v>
      </c>
      <c r="M11" s="135"/>
      <c r="N11" s="135"/>
      <c r="O11" s="136"/>
      <c r="P11" s="130">
        <f>LARGE(H10:H18,4)</f>
        <v>399</v>
      </c>
      <c r="Q11" s="131"/>
    </row>
    <row r="12" spans="1:21" ht="15.9" customHeight="1" x14ac:dyDescent="0.3">
      <c r="B12" s="98">
        <v>2001</v>
      </c>
      <c r="C12" s="148" t="str">
        <f>IF(B12&lt;&gt;"",VLOOKUP(B12,PEDIDOS!$B$9:$E$34,2,FALSE),"")</f>
        <v>Impressora Multi HP</v>
      </c>
      <c r="D12" s="148"/>
      <c r="E12" s="148"/>
      <c r="F12" s="98" t="str">
        <f>IF(B12&lt;&gt;"",VLOOKUP(B12,PEDIDOS!$B$9:$E$34,4,FALSE),"")</f>
        <v>Informática</v>
      </c>
      <c r="G12" s="99">
        <v>3</v>
      </c>
      <c r="H12" s="100">
        <f>IF(B12&lt;&gt;"",VLOOKUP(B12,PEDIDOS!$B$9:$E$34,3,FALSE),"")</f>
        <v>399</v>
      </c>
      <c r="I12" s="147">
        <f t="shared" si="0"/>
        <v>1197</v>
      </c>
      <c r="J12" s="147"/>
      <c r="L12" s="134" t="s">
        <v>19</v>
      </c>
      <c r="M12" s="135"/>
      <c r="N12" s="135"/>
      <c r="O12" s="136"/>
      <c r="P12" s="130">
        <f>AVERAGE(I10:J18)</f>
        <v>4697.2222222222226</v>
      </c>
      <c r="Q12" s="131"/>
    </row>
    <row r="13" spans="1:21" ht="15.9" customHeight="1" x14ac:dyDescent="0.3">
      <c r="B13" s="98">
        <v>2002</v>
      </c>
      <c r="C13" s="148" t="str">
        <f>IF(B13&lt;&gt;"",VLOOKUP(B13,PEDIDOS!$B$9:$E$34,2,FALSE),"")</f>
        <v>Notebook Dell</v>
      </c>
      <c r="D13" s="148"/>
      <c r="E13" s="148"/>
      <c r="F13" s="98" t="str">
        <f>IF(B13&lt;&gt;"",VLOOKUP(B13,PEDIDOS!$B$9:$E$34,4,FALSE),"")</f>
        <v>Informática</v>
      </c>
      <c r="G13" s="99">
        <v>4</v>
      </c>
      <c r="H13" s="100">
        <f>IF(B13&lt;&gt;"",VLOOKUP(B13,PEDIDOS!$B$9:$E$34,3,FALSE),"")</f>
        <v>1890</v>
      </c>
      <c r="I13" s="147">
        <f t="shared" si="0"/>
        <v>7560</v>
      </c>
      <c r="J13" s="147"/>
      <c r="L13" s="134" t="s">
        <v>97</v>
      </c>
      <c r="M13" s="135"/>
      <c r="N13" s="135"/>
      <c r="O13" s="136"/>
      <c r="P13" s="130">
        <f>SUMIF(F10:F18,"Informática",I10:J18)</f>
        <v>9397</v>
      </c>
      <c r="Q13" s="131"/>
    </row>
    <row r="14" spans="1:21" ht="15.9" customHeight="1" x14ac:dyDescent="0.3">
      <c r="B14" s="98">
        <v>2019</v>
      </c>
      <c r="C14" s="148" t="str">
        <f>IF(B14&lt;&gt;"",VLOOKUP(B14,PEDIDOS!$B$9:$E$34,2,FALSE),"")</f>
        <v>Leitor de Código de Barras</v>
      </c>
      <c r="D14" s="148"/>
      <c r="E14" s="148"/>
      <c r="F14" s="98" t="str">
        <f>IF(B14&lt;&gt;"",VLOOKUP(B14,PEDIDOS!$B$9:$E$34,4,FALSE),"")</f>
        <v>Informática</v>
      </c>
      <c r="G14" s="99">
        <v>5</v>
      </c>
      <c r="H14" s="100">
        <f>IF(B14&lt;&gt;"",VLOOKUP(B14,PEDIDOS!$B$9:$E$34,3,FALSE),"")</f>
        <v>115</v>
      </c>
      <c r="I14" s="147">
        <f t="shared" si="0"/>
        <v>575</v>
      </c>
      <c r="J14" s="147"/>
      <c r="L14" s="134" t="s">
        <v>98</v>
      </c>
      <c r="M14" s="135"/>
      <c r="N14" s="135"/>
      <c r="O14" s="136"/>
      <c r="P14" s="130">
        <f>SUMIF(F10:F18,"Telefonia",I10:J18)</f>
        <v>340</v>
      </c>
      <c r="Q14" s="131"/>
    </row>
    <row r="15" spans="1:21" ht="15.9" customHeight="1" x14ac:dyDescent="0.3">
      <c r="B15" s="98">
        <v>2020</v>
      </c>
      <c r="C15" s="148" t="str">
        <f>IF(B15&lt;&gt;"",VLOOKUP(B15,PEDIDOS!$B$9:$E$34,2,FALSE),"")</f>
        <v>Vivo Chip Avulso DDD 11</v>
      </c>
      <c r="D15" s="148"/>
      <c r="E15" s="148"/>
      <c r="F15" s="98" t="str">
        <f>IF(B15&lt;&gt;"",VLOOKUP(B15,PEDIDOS!$B$9:$E$34,4,FALSE),"")</f>
        <v>Telefonia</v>
      </c>
      <c r="G15" s="99">
        <v>6</v>
      </c>
      <c r="H15" s="100">
        <f>IF(B15&lt;&gt;"",VLOOKUP(B15,PEDIDOS!$B$9:$E$34,3,FALSE),"")</f>
        <v>15</v>
      </c>
      <c r="I15" s="147">
        <f t="shared" si="0"/>
        <v>90</v>
      </c>
      <c r="J15" s="147"/>
      <c r="L15" s="134" t="s">
        <v>99</v>
      </c>
      <c r="M15" s="135"/>
      <c r="N15" s="135"/>
      <c r="O15" s="136"/>
      <c r="P15" s="130">
        <f>SUMIF(F10:F18,"Eletrônicos",I10:J18)</f>
        <v>32538</v>
      </c>
      <c r="Q15" s="131"/>
    </row>
    <row r="16" spans="1:21" ht="15.9" customHeight="1" x14ac:dyDescent="0.3">
      <c r="B16" s="98">
        <v>2018</v>
      </c>
      <c r="C16" s="148" t="str">
        <f>IF(B16&lt;&gt;"",VLOOKUP(B16,PEDIDOS!$B$9:$E$34,2,FALSE),"")</f>
        <v>Antena de TV DHTV - Benq</v>
      </c>
      <c r="D16" s="148"/>
      <c r="E16" s="148"/>
      <c r="F16" s="98" t="str">
        <f>IF(B16&lt;&gt;"",VLOOKUP(B16,PEDIDOS!$B$9:$E$34,4,FALSE),"")</f>
        <v>Eletrônicos</v>
      </c>
      <c r="G16" s="99">
        <v>7</v>
      </c>
      <c r="H16" s="100">
        <f>IF(B16&lt;&gt;"",VLOOKUP(B16,PEDIDOS!$B$9:$E$34,3,FALSE),"")</f>
        <v>190</v>
      </c>
      <c r="I16" s="147">
        <f t="shared" si="0"/>
        <v>1330</v>
      </c>
      <c r="J16" s="147"/>
      <c r="L16" s="134" t="s">
        <v>9</v>
      </c>
      <c r="M16" s="135"/>
      <c r="N16" s="135"/>
      <c r="O16" s="136"/>
      <c r="P16" s="132">
        <f>SUMIF(F10:F18,"Informática",G10:G18)</f>
        <v>13</v>
      </c>
      <c r="Q16" s="133"/>
      <c r="R16">
        <f>COUNTIF(F10:F18,"Informática")</f>
        <v>4</v>
      </c>
    </row>
    <row r="17" spans="2:18" ht="15.9" customHeight="1" x14ac:dyDescent="0.3">
      <c r="B17" s="98">
        <v>2014</v>
      </c>
      <c r="C17" s="148" t="str">
        <f>IF(B17&lt;&gt;"",VLOOKUP(B17,PEDIDOS!$B$9:$E$34,2,FALSE),"")</f>
        <v>TV Led 40'' Samsung</v>
      </c>
      <c r="D17" s="148"/>
      <c r="E17" s="148"/>
      <c r="F17" s="98" t="str">
        <f>IF(B17&lt;&gt;"",VLOOKUP(B17,PEDIDOS!$B$9:$E$34,4,FALSE),"")</f>
        <v>Eletrônicos</v>
      </c>
      <c r="G17" s="99">
        <v>8</v>
      </c>
      <c r="H17" s="100">
        <f>IF(B17&lt;&gt;"",VLOOKUP(B17,PEDIDOS!$B$9:$E$34,3,FALSE),"")</f>
        <v>3190</v>
      </c>
      <c r="I17" s="147">
        <f t="shared" si="0"/>
        <v>25520</v>
      </c>
      <c r="J17" s="147"/>
      <c r="L17" s="134" t="s">
        <v>10</v>
      </c>
      <c r="M17" s="135"/>
      <c r="N17" s="135"/>
      <c r="O17" s="136"/>
      <c r="P17" s="132">
        <f>SUMIF(F10:F18,"Telefonia",G10:G18)</f>
        <v>8</v>
      </c>
      <c r="Q17" s="133"/>
      <c r="R17">
        <f>COUNTIF(F10:F18,"Telefonia")</f>
        <v>2</v>
      </c>
    </row>
    <row r="18" spans="2:18" ht="15.9" customHeight="1" thickBot="1" x14ac:dyDescent="0.35">
      <c r="B18" s="98">
        <v>2015</v>
      </c>
      <c r="C18" s="148" t="str">
        <f>IF(B18&lt;&gt;"",VLOOKUP(B18,PEDIDOS!$B$9:$E$34,2,FALSE),"")</f>
        <v>Blu-Ray e DVD Player  - Sony</v>
      </c>
      <c r="D18" s="148"/>
      <c r="E18" s="148"/>
      <c r="F18" s="98" t="str">
        <f>IF(B18&lt;&gt;"",VLOOKUP(B18,PEDIDOS!$B$9:$E$34,4,FALSE),"")</f>
        <v>Eletrônicos</v>
      </c>
      <c r="G18" s="99">
        <v>9</v>
      </c>
      <c r="H18" s="100">
        <f>IF(B18&lt;&gt;"",VLOOKUP(B18,PEDIDOS!$B$9:$E$34,3,FALSE),"")</f>
        <v>632</v>
      </c>
      <c r="I18" s="147">
        <f t="shared" si="0"/>
        <v>5688</v>
      </c>
      <c r="J18" s="147"/>
      <c r="L18" s="137" t="s">
        <v>11</v>
      </c>
      <c r="M18" s="138"/>
      <c r="N18" s="138"/>
      <c r="O18" s="139"/>
      <c r="P18" s="122">
        <f>SUMIF(F10:F18,"Eletrônicos",G10:G18)</f>
        <v>24</v>
      </c>
      <c r="Q18" s="123"/>
      <c r="R18">
        <f>COUNTIF(F10:F18,"Eletrônicos")</f>
        <v>3</v>
      </c>
    </row>
    <row r="19" spans="2:18" ht="10.5" customHeight="1" thickBot="1" x14ac:dyDescent="0.35">
      <c r="B19" s="6"/>
      <c r="C19" s="6"/>
      <c r="D19" s="6"/>
      <c r="E19" s="6"/>
      <c r="F19" s="6"/>
      <c r="G19" s="6"/>
      <c r="H19" s="73"/>
      <c r="I19" s="6"/>
      <c r="J19" s="6"/>
    </row>
    <row r="20" spans="2:18" ht="15.9" customHeight="1" thickBot="1" x14ac:dyDescent="0.35">
      <c r="B20" s="156"/>
      <c r="C20" s="157"/>
      <c r="D20" s="157"/>
      <c r="E20" s="11"/>
      <c r="F20" s="91" t="s">
        <v>5</v>
      </c>
      <c r="G20" s="92"/>
      <c r="H20" s="162">
        <f>SUM(I10:J18)</f>
        <v>42275</v>
      </c>
      <c r="I20" s="163"/>
      <c r="J20" s="164"/>
      <c r="L20" s="167" t="s">
        <v>92</v>
      </c>
      <c r="M20" s="168"/>
      <c r="N20" s="168"/>
      <c r="O20" s="169"/>
    </row>
    <row r="21" spans="2:18" ht="15.9" customHeight="1" x14ac:dyDescent="0.3">
      <c r="B21" s="158"/>
      <c r="C21" s="159"/>
      <c r="D21" s="159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2" t="s">
        <v>112</v>
      </c>
      <c r="O21" s="173"/>
    </row>
    <row r="22" spans="2:18" ht="15.9" customHeight="1" x14ac:dyDescent="0.3">
      <c r="B22" s="158"/>
      <c r="C22" s="159"/>
      <c r="D22" s="159"/>
      <c r="E22" s="12"/>
      <c r="F22" s="93" t="s">
        <v>6</v>
      </c>
      <c r="G22" s="94"/>
      <c r="H22" s="149">
        <f>IF(A1=1,H20*20%,IF(A1=4,H20*5%,"Sem Desconto"))</f>
        <v>8455</v>
      </c>
      <c r="I22" s="147"/>
      <c r="J22" s="150"/>
      <c r="L22" s="62" t="s">
        <v>94</v>
      </c>
      <c r="M22" s="63"/>
      <c r="N22" s="151" t="s">
        <v>115</v>
      </c>
      <c r="O22" s="152"/>
    </row>
    <row r="23" spans="2:18" ht="15.9" customHeight="1" x14ac:dyDescent="0.3">
      <c r="B23" s="158"/>
      <c r="C23" s="159"/>
      <c r="D23" s="159"/>
      <c r="E23" s="12"/>
      <c r="F23" s="93" t="s">
        <v>114</v>
      </c>
      <c r="G23" s="94"/>
      <c r="H23" s="149" t="str">
        <f>IF(A1=3,(H20*109.69%)/3,"Não parcelado.")</f>
        <v>Não parcelado.</v>
      </c>
      <c r="I23" s="147"/>
      <c r="J23" s="150"/>
      <c r="L23" s="62" t="s">
        <v>113</v>
      </c>
      <c r="M23" s="63"/>
      <c r="N23" s="151" t="s">
        <v>116</v>
      </c>
      <c r="O23" s="152"/>
    </row>
    <row r="24" spans="2:18" ht="15.9" customHeight="1" thickBot="1" x14ac:dyDescent="0.35">
      <c r="B24" s="160"/>
      <c r="C24" s="161"/>
      <c r="D24" s="161"/>
      <c r="E24" s="13"/>
      <c r="F24" s="95" t="s">
        <v>7</v>
      </c>
      <c r="G24" s="96"/>
      <c r="H24" s="153">
        <f>IF(OR(A1=1,A1=4),H20-H22,IF(A1=3,H23*3,H20*104.75%))</f>
        <v>33820</v>
      </c>
      <c r="I24" s="154"/>
      <c r="J24" s="155"/>
      <c r="L24" s="165" t="s">
        <v>95</v>
      </c>
      <c r="M24" s="166"/>
      <c r="N24" s="170" t="s">
        <v>96</v>
      </c>
      <c r="O24" s="171"/>
    </row>
    <row r="25" spans="2:18" x14ac:dyDescent="0.3">
      <c r="H25" s="121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viso" error="ID do Produto Inválido!" promptTitle="Atenção" prompt="Tecle ID do Produto entre 2000 e 2025." sqref="B10:B18" xr:uid="{55DE829F-EA76-44B7-B9DD-3B727EB5C746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Drop Down 5">
              <controlPr defaultSize="0" autoLine="0" autoPict="0">
                <anchor moveWithCells="1">
                  <from>
                    <xdr:col>7</xdr:col>
                    <xdr:colOff>7620</xdr:colOff>
                    <xdr:row>19</xdr:row>
                    <xdr:rowOff>198120</xdr:rowOff>
                  </from>
                  <to>
                    <xdr:col>9</xdr:col>
                    <xdr:colOff>373380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7" t="s">
        <v>108</v>
      </c>
      <c r="C8" s="188"/>
      <c r="D8" s="189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24" sqref="J24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7" t="s">
        <v>109</v>
      </c>
      <c r="C8" s="188"/>
      <c r="D8" s="188"/>
      <c r="F8" s="187" t="s">
        <v>40</v>
      </c>
      <c r="G8" s="189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workbookViewId="0">
      <selection activeCell="G5" sqref="G5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4226-D53B-47F3-A2EF-58B0025865AF}">
  <sheetPr codeName="Planilha2"/>
  <dimension ref="A1:D19"/>
  <sheetViews>
    <sheetView topLeftCell="A2" workbookViewId="0">
      <selection activeCell="Q18" sqref="Q18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s="121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F11" sqref="F11:F18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90" t="s">
        <v>71</v>
      </c>
      <c r="C9" s="191"/>
      <c r="D9" s="48"/>
      <c r="E9" s="190" t="s">
        <v>90</v>
      </c>
      <c r="F9" s="191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Q34"/>
  <sheetViews>
    <sheetView showGridLines="0" tabSelected="1" topLeftCell="A4" zoomScale="90" zoomScaleNormal="90" workbookViewId="0">
      <selection activeCell="J33" sqref="J33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4" width="16.44140625" customWidth="1"/>
    <col min="15" max="15" width="21.88671875" customWidth="1"/>
    <col min="16" max="16" width="14.44140625" customWidth="1"/>
    <col min="17" max="17" width="14" customWidth="1"/>
  </cols>
  <sheetData>
    <row r="7" spans="2:17" ht="15" thickBot="1" x14ac:dyDescent="0.35"/>
    <row r="8" spans="2:17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108" t="s">
        <v>151</v>
      </c>
      <c r="O8" s="79" t="s">
        <v>122</v>
      </c>
      <c r="P8" s="108" t="s">
        <v>125</v>
      </c>
      <c r="Q8" s="108" t="s">
        <v>126</v>
      </c>
    </row>
    <row r="9" spans="2:17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>
        <v>198760</v>
      </c>
      <c r="H9" s="43" t="s">
        <v>152</v>
      </c>
      <c r="I9" s="45" t="s">
        <v>153</v>
      </c>
      <c r="J9" s="15" t="s">
        <v>154</v>
      </c>
      <c r="K9" s="15" t="s">
        <v>155</v>
      </c>
      <c r="L9" s="15" t="s">
        <v>156</v>
      </c>
      <c r="M9" s="109" t="s">
        <v>157</v>
      </c>
      <c r="N9" s="109" t="s">
        <v>158</v>
      </c>
      <c r="O9" s="112">
        <v>120</v>
      </c>
      <c r="P9" s="110">
        <v>43902</v>
      </c>
      <c r="Q9" s="111">
        <v>0.48108796296296297</v>
      </c>
    </row>
    <row r="10" spans="2:17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>
        <v>198761</v>
      </c>
      <c r="H10" s="43" t="s">
        <v>159</v>
      </c>
      <c r="I10" s="45" t="s">
        <v>160</v>
      </c>
      <c r="J10" s="15" t="s">
        <v>159</v>
      </c>
      <c r="K10" s="15" t="s">
        <v>161</v>
      </c>
      <c r="L10" s="15" t="s">
        <v>156</v>
      </c>
      <c r="M10" s="15" t="s">
        <v>157</v>
      </c>
      <c r="N10" s="15" t="s">
        <v>162</v>
      </c>
      <c r="O10" s="112">
        <v>5500</v>
      </c>
      <c r="P10" s="110">
        <v>43902</v>
      </c>
      <c r="Q10" s="111">
        <v>0.48241898148148149</v>
      </c>
    </row>
    <row r="11" spans="2:17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>
        <v>198762</v>
      </c>
      <c r="H11" s="43" t="s">
        <v>163</v>
      </c>
      <c r="I11" s="45" t="s">
        <v>164</v>
      </c>
      <c r="J11" s="15" t="s">
        <v>163</v>
      </c>
      <c r="K11" s="15" t="s">
        <v>165</v>
      </c>
      <c r="L11" s="15" t="s">
        <v>156</v>
      </c>
      <c r="M11" s="15" t="s">
        <v>166</v>
      </c>
      <c r="N11" s="15" t="s">
        <v>167</v>
      </c>
      <c r="O11" s="112">
        <v>6600000</v>
      </c>
      <c r="P11" s="110">
        <v>43902</v>
      </c>
      <c r="Q11" s="111">
        <v>0.4906712962962963</v>
      </c>
    </row>
    <row r="12" spans="2:17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>
        <v>198763</v>
      </c>
      <c r="H12" s="43" t="s">
        <v>168</v>
      </c>
      <c r="I12" s="45" t="s">
        <v>169</v>
      </c>
      <c r="J12" s="15" t="s">
        <v>170</v>
      </c>
      <c r="K12" s="15" t="s">
        <v>171</v>
      </c>
      <c r="L12" s="15" t="s">
        <v>156</v>
      </c>
      <c r="M12" s="15" t="s">
        <v>172</v>
      </c>
      <c r="N12" s="15" t="s">
        <v>173</v>
      </c>
      <c r="O12" s="106">
        <v>1890000</v>
      </c>
      <c r="P12" s="110">
        <v>43902</v>
      </c>
      <c r="Q12" s="111">
        <v>0.49601851851851847</v>
      </c>
    </row>
    <row r="13" spans="2:17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>
        <v>198764</v>
      </c>
      <c r="H13" s="14" t="s">
        <v>174</v>
      </c>
      <c r="I13" s="45" t="s">
        <v>175</v>
      </c>
      <c r="J13" s="15" t="s">
        <v>176</v>
      </c>
      <c r="K13" s="15" t="s">
        <v>177</v>
      </c>
      <c r="L13" s="15" t="s">
        <v>156</v>
      </c>
      <c r="M13" s="15" t="s">
        <v>178</v>
      </c>
      <c r="N13" s="15" t="s">
        <v>179</v>
      </c>
      <c r="O13" s="106">
        <v>1450</v>
      </c>
      <c r="P13" s="110">
        <v>43916</v>
      </c>
      <c r="Q13" s="111">
        <v>0.67047453703703708</v>
      </c>
    </row>
    <row r="14" spans="2:17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>
        <v>198765</v>
      </c>
      <c r="H14" s="43" t="s">
        <v>180</v>
      </c>
      <c r="I14" s="45" t="s">
        <v>181</v>
      </c>
      <c r="J14" s="15" t="s">
        <v>182</v>
      </c>
      <c r="K14" s="15" t="s">
        <v>177</v>
      </c>
      <c r="L14" s="15" t="s">
        <v>156</v>
      </c>
      <c r="M14" s="15" t="s">
        <v>178</v>
      </c>
      <c r="N14" s="15" t="s">
        <v>179</v>
      </c>
      <c r="O14" s="106">
        <v>1450</v>
      </c>
      <c r="P14" s="110">
        <v>43958</v>
      </c>
      <c r="Q14" s="111">
        <v>0.40584490740740736</v>
      </c>
    </row>
    <row r="15" spans="2:17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>
        <v>198766</v>
      </c>
      <c r="H15" s="43" t="s">
        <v>183</v>
      </c>
      <c r="I15" s="45" t="s">
        <v>184</v>
      </c>
      <c r="J15" s="15" t="s">
        <v>185</v>
      </c>
      <c r="K15" s="15" t="s">
        <v>186</v>
      </c>
      <c r="L15" s="15" t="s">
        <v>187</v>
      </c>
      <c r="M15" s="15" t="s">
        <v>157</v>
      </c>
      <c r="N15" s="15" t="s">
        <v>188</v>
      </c>
      <c r="O15" s="106">
        <v>31200</v>
      </c>
      <c r="P15" s="110">
        <v>43958</v>
      </c>
      <c r="Q15" s="111">
        <v>0.42837962962962961</v>
      </c>
    </row>
    <row r="16" spans="2:17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5"/>
      <c r="O16" s="106"/>
      <c r="P16" s="15"/>
      <c r="Q16" s="15"/>
    </row>
    <row r="17" spans="2:17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5"/>
      <c r="O17" s="106"/>
      <c r="P17" s="15"/>
      <c r="Q17" s="15"/>
    </row>
    <row r="18" spans="2:17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5"/>
      <c r="O18" s="106"/>
      <c r="P18" s="15"/>
      <c r="Q18" s="15"/>
    </row>
    <row r="19" spans="2:17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5"/>
      <c r="O19" s="106"/>
      <c r="P19" s="15"/>
      <c r="Q19" s="15"/>
    </row>
    <row r="20" spans="2:17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5"/>
      <c r="O20" s="106"/>
      <c r="P20" s="15"/>
      <c r="Q20" s="15"/>
    </row>
    <row r="21" spans="2:17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5"/>
      <c r="O21" s="106"/>
      <c r="P21" s="15"/>
      <c r="Q21" s="15"/>
    </row>
    <row r="22" spans="2:17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5"/>
      <c r="O22" s="106"/>
      <c r="P22" s="15"/>
      <c r="Q22" s="15"/>
    </row>
    <row r="23" spans="2:17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5"/>
      <c r="O23" s="106"/>
      <c r="P23" s="15"/>
      <c r="Q23" s="15"/>
    </row>
    <row r="24" spans="2:17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5"/>
      <c r="O24" s="106"/>
      <c r="P24" s="15"/>
      <c r="Q24" s="15"/>
    </row>
    <row r="25" spans="2:17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5"/>
      <c r="O25" s="106"/>
      <c r="P25" s="15"/>
      <c r="Q25" s="15"/>
    </row>
    <row r="26" spans="2:17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5"/>
      <c r="O26" s="106"/>
      <c r="P26" s="15"/>
      <c r="Q26" s="15"/>
    </row>
    <row r="27" spans="2:17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5"/>
      <c r="O27" s="106"/>
      <c r="P27" s="15"/>
      <c r="Q27" s="15"/>
    </row>
    <row r="28" spans="2:17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5"/>
      <c r="O28" s="106"/>
      <c r="P28" s="15"/>
      <c r="Q28" s="15"/>
    </row>
    <row r="29" spans="2:17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5"/>
      <c r="O29" s="106"/>
      <c r="P29" s="15"/>
      <c r="Q29" s="15"/>
    </row>
    <row r="30" spans="2:17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5"/>
      <c r="O30" s="106"/>
      <c r="P30" s="15"/>
      <c r="Q30" s="15"/>
    </row>
    <row r="31" spans="2:17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5"/>
      <c r="O31" s="106"/>
      <c r="P31" s="15"/>
      <c r="Q31" s="15"/>
    </row>
    <row r="32" spans="2:17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5"/>
      <c r="O32" s="106"/>
      <c r="P32" s="15"/>
      <c r="Q32" s="15"/>
    </row>
    <row r="33" spans="2:17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5"/>
      <c r="O33" s="106"/>
      <c r="P33" s="15"/>
      <c r="Q33" s="15"/>
    </row>
    <row r="34" spans="2:17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6"/>
      <c r="O34" s="107"/>
      <c r="P34" s="16"/>
      <c r="Q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Dinâmica Tabela</vt:lpstr>
      <vt:lpstr>DADOS GRÁFICO</vt:lpstr>
      <vt:lpstr>PEDIDOS</vt:lpstr>
      <vt:lpstr>Paragráfico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2020-05-21T16:50:47Z</dcterms:modified>
</cp:coreProperties>
</file>