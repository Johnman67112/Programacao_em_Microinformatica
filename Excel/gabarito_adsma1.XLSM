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trlProps/ctrlProp1.xml" ContentType="application/vnd.ms-excel.controlproperties+xml"/>
  <Override PartName="/xl/activeX/activeX1.xml" ContentType="application/vnd.ms-office.activeX+xml"/>
  <Override PartName="/xl/calcChain.xml" ContentType="application/vnd.openxmlformats-officedocument.spreadsheetml.calcChain+xml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2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D:\DADOS\FATEC_SCS\EAD\"/>
    </mc:Choice>
  </mc:AlternateContent>
  <xr:revisionPtr revIDLastSave="0" documentId="13_ncr:1_{92FC2690-C7FB-47B4-89BF-0C045EDCCB9A}" xr6:coauthVersionLast="45" xr6:coauthVersionMax="45" xr10:uidLastSave="{00000000-0000-0000-0000-000000000000}"/>
  <bookViews>
    <workbookView xWindow="-120" yWindow="-120" windowWidth="20730" windowHeight="11760" tabRatio="1000" xr2:uid="{00000000-000D-0000-FFFF-FFFF00000000}"/>
  </bookViews>
  <sheets>
    <sheet name="CONTAS" sheetId="14" r:id="rId1"/>
    <sheet name="VENDAS" sheetId="2" r:id="rId2"/>
    <sheet name="APURAÇÃO SUBTOTAIS" sheetId="3" r:id="rId3"/>
    <sheet name="CONSOLIDAÇÃO VALORES" sheetId="8" r:id="rId4"/>
    <sheet name="DADOS DINÂMICOS" sheetId="11" r:id="rId5"/>
    <sheet name="TABELA DINÂMICA" sheetId="10" r:id="rId6"/>
    <sheet name="GRAFICO VENDAS" sheetId="13" r:id="rId7"/>
    <sheet name="DADOS GRÁFICO" sheetId="7" r:id="rId8"/>
    <sheet name="PEDIDOS" sheetId="6" r:id="rId9"/>
  </sheets>
  <functionGroups builtInGroupCount="19"/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2" i="3" l="1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23" i="2" l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0" i="2"/>
  <c r="F11" i="2"/>
  <c r="F12" i="2"/>
  <c r="F13" i="2"/>
  <c r="F14" i="2"/>
  <c r="F15" i="2"/>
  <c r="F16" i="2"/>
  <c r="F17" i="2"/>
  <c r="F18" i="2"/>
  <c r="F10" i="2"/>
  <c r="R16" i="2" l="1"/>
  <c r="P18" i="2"/>
  <c r="P10" i="2"/>
  <c r="P16" i="2"/>
  <c r="P13" i="2"/>
  <c r="P17" i="2"/>
  <c r="P11" i="2"/>
  <c r="I10" i="2"/>
  <c r="P14" i="2"/>
  <c r="C11" i="2"/>
  <c r="C12" i="2"/>
  <c r="C13" i="2"/>
  <c r="C14" i="2"/>
  <c r="C15" i="2"/>
  <c r="C16" i="2"/>
  <c r="C17" i="2"/>
  <c r="C18" i="2"/>
  <c r="C10" i="2"/>
  <c r="P12" i="2" l="1"/>
  <c r="H20" i="2"/>
  <c r="P15" i="2"/>
  <c r="H19" i="2"/>
  <c r="H22" i="2" l="1"/>
  <c r="H24" i="2" s="1"/>
</calcChain>
</file>

<file path=xl/sharedStrings.xml><?xml version="1.0" encoding="utf-8"?>
<sst xmlns="http://schemas.openxmlformats.org/spreadsheetml/2006/main" count="554" uniqueCount="211">
  <si>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</si>
  <si>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</si>
  <si>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</si>
  <si>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</si>
  <si>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</si>
  <si>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</si>
  <si>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</si>
  <si>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</si>
  <si>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</si>
  <si>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</si>
  <si>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</si>
  <si>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</si>
  <si>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</si>
  <si>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</si>
  <si>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</si>
  <si>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</si>
  <si>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</si>
  <si>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</si>
  <si>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</si>
  <si>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</si>
  <si>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</si>
  <si>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</si>
  <si>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</si>
  <si>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</si>
  <si>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</si>
  <si>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</si>
  <si>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</si>
  <si>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</si>
  <si>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</si>
  <si>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</si>
  <si>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</si>
  <si>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</si>
  <si>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</si>
  <si>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</si>
  <si>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</si>
  <si>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</si>
  <si>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</si>
  <si>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</si>
  <si>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</si>
  <si>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</si>
  <si>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</si>
  <si>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</si>
  <si>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</si>
  <si>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</si>
  <si>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</si>
  <si>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</si>
  <si>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</si>
  <si>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</si>
  <si>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</si>
  <si>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</si>
  <si>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</si>
  <si>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</si>
  <si>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</si>
  <si>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</si>
  <si>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</si>
  <si>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</si>
  <si>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</si>
  <si>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</si>
  <si>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</si>
  <si>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</si>
  <si>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</si>
  <si>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</si>
  <si>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</si>
  <si>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</si>
  <si>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</si>
  <si>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</si>
  <si>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</si>
  <si>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</si>
  <si>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</si>
  <si>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</si>
  <si>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</si>
  <si>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</si>
  <si>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</si>
  <si>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</si>
  <si>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</si>
  <si>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</si>
  <si>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</si>
  <si>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</si>
  <si>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</si>
  <si>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</si>
  <si>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</si>
  <si>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</si>
  <si>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</si>
  <si>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</si>
  <si>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</si>
  <si>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</si>
  <si>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</si>
  <si>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</si>
  <si>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</si>
  <si>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</si>
  <si>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</si>
  <si>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</si>
  <si>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</si>
  <si>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</si>
  <si>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</si>
  <si>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</si>
  <si>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</si>
  <si>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</si>
  <si>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</si>
  <si>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</si>
  <si>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</si>
  <si>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</si>
  <si>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</si>
  <si>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</si>
  <si>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</si>
  <si>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</si>
  <si>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</si>
  <si>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</si>
  <si>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</si>
  <si>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</si>
  <si>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</si>
  <si>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</si>
  <si>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</si>
  <si>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</si>
  <si>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</si>
  <si>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</si>
  <si>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</si>
  <si>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</si>
  <si>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</si>
  <si>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</si>
  <si>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</si>
  <si>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</si>
  <si>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</si>
  <si>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</si>
  <si>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</si>
  <si>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</si>
  <si>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</si>
  <si>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</si>
  <si>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</si>
  <si>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</si>
  <si>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</si>
  <si>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</si>
  <si>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</si>
  <si>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</si>
  <si>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</si>
  <si>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</si>
  <si>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</si>
  <si>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</si>
  <si>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</si>
  <si>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</si>
  <si>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</si>
  <si>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</si>
  <si>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</si>
  <si>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</si>
  <si>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</si>
  <si>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</si>
  <si>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</si>
  <si>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</si>
  <si>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</si>
  <si>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</si>
  <si>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</si>
  <si>
    <t>VALOR UNITÁRIO</t>
  </si>
  <si>
    <t>111.111.111-11</t>
  </si>
  <si>
    <t>MOQUIDÉSIA</t>
  </si>
  <si>
    <t>22.222.222-22</t>
  </si>
  <si>
    <t>PEN DRIVE 4GB</t>
  </si>
  <si>
    <t>INFORMÁTICA</t>
  </si>
  <si>
    <t>3</t>
  </si>
  <si>
    <t>R$ 29,00</t>
  </si>
  <si>
    <t>ID CONTA</t>
  </si>
  <si>
    <t>NOME DE USUÁRIO</t>
  </si>
  <si>
    <t>E-MAIL USUÁRIO</t>
  </si>
  <si>
    <t>SENHA</t>
  </si>
  <si>
    <t>STATUS CONTA</t>
  </si>
  <si>
    <t>LISTAGEM DE USUÁRIOS                       CONTAS LOGIN</t>
  </si>
  <si>
    <t>moquidesia</t>
  </si>
  <si>
    <t>moquidesia@fatec</t>
  </si>
  <si>
    <t>123a</t>
  </si>
  <si>
    <t>ATIVA</t>
  </si>
  <si>
    <t>teste</t>
  </si>
  <si>
    <t>teste@teste</t>
  </si>
  <si>
    <t>fatec</t>
  </si>
  <si>
    <t>fatec@fatec</t>
  </si>
  <si>
    <t>teste2</t>
  </si>
  <si>
    <t>teste2@fatec</t>
  </si>
  <si>
    <t>123</t>
  </si>
  <si>
    <t>teobaldo</t>
  </si>
  <si>
    <t>teobaldo@fatec</t>
  </si>
  <si>
    <t>carlos</t>
  </si>
  <si>
    <t>carlos@fatec</t>
  </si>
  <si>
    <t>123456</t>
  </si>
  <si>
    <t>antonio</t>
  </si>
  <si>
    <t>antonio@fatec</t>
  </si>
  <si>
    <t>talles</t>
  </si>
  <si>
    <t>talles@fatec</t>
  </si>
  <si>
    <t>12344</t>
  </si>
  <si>
    <t>humberto</t>
  </si>
  <si>
    <t>humberto@fatec</t>
  </si>
  <si>
    <t>333</t>
  </si>
  <si>
    <t>ASSASASA</t>
  </si>
  <si>
    <t>3323</t>
  </si>
  <si>
    <t>ANTENA DE TV DHTV - BENQ</t>
  </si>
  <si>
    <t>ELETRÔNICOS</t>
  </si>
  <si>
    <t>2</t>
  </si>
  <si>
    <t>R$ 190,00</t>
  </si>
  <si>
    <t>43434</t>
  </si>
  <si>
    <t>AADASDSDS</t>
  </si>
  <si>
    <t>435454</t>
  </si>
  <si>
    <t>43454657</t>
  </si>
  <si>
    <t>DGFGJGHJGHJHG</t>
  </si>
  <si>
    <t>88643433</t>
  </si>
  <si>
    <t>CHIP CLARO 128K PRÉ-PAGO - DDD11</t>
  </si>
  <si>
    <t>TELEFONIA</t>
  </si>
  <si>
    <t>R$ 10,00</t>
  </si>
  <si>
    <t>BLOQUEADA</t>
  </si>
  <si>
    <t>arnobio</t>
  </si>
  <si>
    <t>arnobio@fatec</t>
  </si>
  <si>
    <t>32323</t>
  </si>
  <si>
    <t>FDSFDSFSD</t>
  </si>
  <si>
    <t>MONITOR LCD 19'' AOC</t>
  </si>
  <si>
    <t>R$ 550,00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</si>
</sst>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  <font>
      <b/>
      <sz val="24"/>
      <color theme="0"/>
      <name val="Arial Nova"/>
      <family val="2"/>
    </font>
    <font>
      <sz val="11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indexed="1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206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5" fillId="0" borderId="19" xfId="0" applyFont="1" applyBorder="1" applyAlignment="1"/>
    <xf numFmtId="0" fontId="5" fillId="0" borderId="18" xfId="0" applyFont="1" applyBorder="1" applyAlignment="1"/>
    <xf numFmtId="0" fontId="5" fillId="0" borderId="24" xfId="0" applyFont="1" applyBorder="1" applyAlignment="1"/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165" fontId="0" fillId="0" borderId="24" xfId="2" applyFont="1" applyBorder="1" applyAlignment="1">
      <alignment horizontal="center"/>
    </xf>
    <xf numFmtId="165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64" fontId="0" fillId="0" borderId="24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165" fontId="0" fillId="0" borderId="0" xfId="0" applyNumberFormat="1"/>
    <xf numFmtId="0" fontId="21" fillId="4" borderId="19" xfId="0" applyFont="1" applyFill="1" applyBorder="1" applyAlignment="1">
      <alignment horizontal="center"/>
    </xf>
    <xf numFmtId="0" fontId="27" fillId="0" borderId="19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19" xfId="0" applyFont="1" applyBorder="1"/>
    <xf numFmtId="0" fontId="31" fillId="0" borderId="19" xfId="0" applyFont="1" applyBorder="1" applyAlignment="1">
      <alignment horizontal="center"/>
    </xf>
    <xf numFmtId="0" fontId="26" fillId="4" borderId="20" xfId="0" applyFont="1" applyFill="1" applyBorder="1" applyAlignment="1">
      <alignment horizontal="center" vertical="center" wrapText="1"/>
    </xf>
    <xf numFmtId="0" fontId="26" fillId="4" borderId="21" xfId="0" applyFont="1" applyFill="1" applyBorder="1" applyAlignment="1">
      <alignment horizontal="center" vertical="center" wrapText="1"/>
    </xf>
    <xf numFmtId="0" fontId="26" fillId="4" borderId="22" xfId="0" applyFont="1" applyFill="1" applyBorder="1" applyAlignment="1">
      <alignment horizontal="center" vertical="center" wrapText="1"/>
    </xf>
    <xf numFmtId="0" fontId="26" fillId="4" borderId="23" xfId="0" applyFont="1" applyFill="1" applyBorder="1" applyAlignment="1">
      <alignment horizontal="center" vertical="center" wrapText="1"/>
    </xf>
    <xf numFmtId="0" fontId="26" fillId="4" borderId="0" xfId="0" applyFont="1" applyFill="1" applyBorder="1" applyAlignment="1">
      <alignment horizontal="center" vertical="center" wrapText="1"/>
    </xf>
    <xf numFmtId="0" fontId="26" fillId="4" borderId="40" xfId="0" applyFont="1" applyFill="1" applyBorder="1" applyAlignment="1">
      <alignment horizontal="center" vertical="center" wrapText="1"/>
    </xf>
    <xf numFmtId="0" fontId="26" fillId="4" borderId="25" xfId="0" applyFont="1" applyFill="1" applyBorder="1" applyAlignment="1">
      <alignment horizontal="center" vertical="center" wrapText="1"/>
    </xf>
    <xf numFmtId="0" fontId="26" fillId="4" borderId="26" xfId="0" applyFont="1" applyFill="1" applyBorder="1" applyAlignment="1">
      <alignment horizontal="center" vertical="center" wrapText="1"/>
    </xf>
    <xf numFmtId="0" fontId="26" fillId="4" borderId="27" xfId="0" applyFont="1" applyFill="1" applyBorder="1" applyAlignment="1">
      <alignment horizontal="center" vertical="center" wrapText="1"/>
    </xf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1">
    <dxf>
      <numFmt numFmtId="165" formatCode="_(&quot;R$&quot;* #,##0.00_);_(&quot;R$&quot;* \(#,##0.00\);_(&quot;R$&quot;* &quot;-&quot;??_);_(@_)"/>
    </dxf>
  </dxfs>
  <tableStyles count="0" defaultTableStyle="TableStyleMedium9" defaultPivotStyle="PivotStyleLight16"/>
  <colors>
    <mruColors>
      <color rgb="FF333300"/>
      <color rgb="FF2A2718"/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DEMONSTRATIVO</a:t>
            </a:r>
            <a:r>
              <a:rPr lang="pt-BR" baseline="0"/>
              <a:t> DE VENDAS ANUAIS 2009 / 2010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12-45E5-8D04-5F955D377DB0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12-45E5-8D04-5F955D377DB0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12-45E5-8D04-5F955D377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361867792"/>
        <c:axId val="361868352"/>
      </c:lineChart>
      <c:catAx>
        <c:axId val="36186779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1868352"/>
        <c:crosses val="autoZero"/>
        <c:auto val="1"/>
        <c:lblAlgn val="ctr"/>
        <c:lblOffset val="100"/>
        <c:noMultiLvlLbl val="0"/>
      </c:catAx>
      <c:valAx>
        <c:axId val="36186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PROJEÇÃO DE VALORES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186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fico"/>
  <sheetViews>
    <sheetView zoomScale="8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$1" fmlaRange="$L$21:$M$24" noThreeD="1" sel="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0</xdr:row>
      <xdr:rowOff>0</xdr:rowOff>
    </xdr:from>
    <xdr:to>
      <xdr:col>6</xdr:col>
      <xdr:colOff>600075</xdr:colOff>
      <xdr:row>4</xdr:row>
      <xdr:rowOff>182499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6350" y="0"/>
          <a:ext cx="2981325" cy="95402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1</xdr:row>
          <xdr:rowOff>47625</xdr:rowOff>
        </xdr:from>
        <xdr:to>
          <xdr:col>14</xdr:col>
          <xdr:colOff>209550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ENCERRAR SESSÃO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0</xdr:rowOff>
        </xdr:from>
        <xdr:to>
          <xdr:col>10</xdr:col>
          <xdr:colOff>0</xdr:colOff>
          <xdr:row>20</xdr:row>
          <xdr:rowOff>190500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0</xdr:rowOff>
        </xdr:from>
        <xdr:to>
          <xdr:col>21</xdr:col>
          <xdr:colOff>76200</xdr:colOff>
          <xdr:row>9</xdr:row>
          <xdr:rowOff>95250</xdr:rowOff>
        </xdr:to>
        <xdr:sp macro="" textlink="">
          <xdr:nvSpPr>
            <xdr:cNvPr id="2051" name="btn_ence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00M00" refreshedDate="43892.549925925923" createdVersion="5" refreshedVersion="5" minRefreshableVersion="3" recordCount="14" xr:uid="{00000000-000A-0000-FFFF-FFFF00000000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 count="14">
        <n v="456"/>
        <n v="333"/>
        <n v="3235"/>
        <n v="3456"/>
        <n v="1234"/>
        <n v="9876"/>
        <n v="4656"/>
        <n v="4332"/>
        <n v="455"/>
        <n v="21"/>
        <n v="234"/>
        <n v="2456"/>
        <n v="322"/>
        <n v="122"/>
      </sharedItems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x v="0"/>
    <n v="5534"/>
    <n v="23432"/>
  </r>
  <r>
    <x v="1"/>
    <x v="0"/>
    <x v="1"/>
    <n v="223"/>
    <n v="432"/>
  </r>
  <r>
    <x v="2"/>
    <x v="0"/>
    <x v="2"/>
    <n v="2"/>
    <n v="32"/>
  </r>
  <r>
    <x v="3"/>
    <x v="0"/>
    <x v="3"/>
    <n v="121"/>
    <n v="32"/>
  </r>
  <r>
    <x v="4"/>
    <x v="1"/>
    <x v="4"/>
    <n v="5"/>
    <n v="32"/>
  </r>
  <r>
    <x v="5"/>
    <x v="1"/>
    <x v="5"/>
    <n v="656"/>
    <n v="32"/>
  </r>
  <r>
    <x v="6"/>
    <x v="0"/>
    <x v="6"/>
    <n v="4"/>
    <n v="1234"/>
  </r>
  <r>
    <x v="7"/>
    <x v="0"/>
    <x v="7"/>
    <n v="5"/>
    <n v="453"/>
  </r>
  <r>
    <x v="8"/>
    <x v="0"/>
    <x v="8"/>
    <n v="4"/>
    <n v="24"/>
  </r>
  <r>
    <x v="9"/>
    <x v="0"/>
    <x v="9"/>
    <n v="54"/>
    <n v="543"/>
  </r>
  <r>
    <x v="10"/>
    <x v="0"/>
    <x v="10"/>
    <n v="5"/>
    <n v="543"/>
  </r>
  <r>
    <x v="11"/>
    <x v="0"/>
    <x v="11"/>
    <n v="5"/>
    <n v="667"/>
  </r>
  <r>
    <x v="12"/>
    <x v="2"/>
    <x v="12"/>
    <n v="6"/>
    <n v="4346"/>
  </r>
  <r>
    <x v="13"/>
    <x v="1"/>
    <x v="13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>
      <items count="15">
        <item x="9"/>
        <item x="13"/>
        <item x="10"/>
        <item x="12"/>
        <item x="1"/>
        <item x="8"/>
        <item x="0"/>
        <item x="4"/>
        <item x="11"/>
        <item x="2"/>
        <item x="3"/>
        <item x="7"/>
        <item x="6"/>
        <item x="5"/>
        <item t="default"/>
      </items>
    </pivotField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FA56C-63B3-4808-A682-1F03202453A2}">
  <sheetPr codeName="Planilha1"/>
  <dimension ref="H1:L20"/>
  <sheetViews>
    <sheetView showGridLines="0" tabSelected="1" workbookViewId="0">
      <selection activeCell="N6" sqref="N6"/>
    </sheetView>
  </sheetViews>
  <sheetFormatPr defaultRowHeight="15" x14ac:dyDescent="0.25"/>
  <cols>
    <col min="8" max="8" width="12.42578125" customWidth="1"/>
    <col min="9" max="9" width="23.28515625" customWidth="1"/>
    <col min="10" max="10" width="27.140625" customWidth="1"/>
    <col min="11" max="11" width="13.7109375" customWidth="1"/>
    <col min="12" max="12" width="17.42578125" customWidth="1"/>
  </cols>
  <sheetData>
    <row r="1" spans="8:12" ht="15.75" thickBot="1" x14ac:dyDescent="0.3"/>
    <row r="2" spans="8:12" x14ac:dyDescent="0.25">
      <c r="H2" s="127" t="s">
        <v>164</v>
      </c>
      <c r="I2" s="128"/>
      <c r="J2" s="128"/>
      <c r="K2" s="128"/>
      <c r="L2" s="129"/>
    </row>
    <row r="3" spans="8:12" x14ac:dyDescent="0.25">
      <c r="H3" s="130"/>
      <c r="I3" s="131"/>
      <c r="J3" s="131"/>
      <c r="K3" s="131"/>
      <c r="L3" s="132"/>
    </row>
    <row r="4" spans="8:12" x14ac:dyDescent="0.25">
      <c r="H4" s="130"/>
      <c r="I4" s="131"/>
      <c r="J4" s="131"/>
      <c r="K4" s="131"/>
      <c r="L4" s="132"/>
    </row>
    <row r="5" spans="8:12" ht="15.75" thickBot="1" x14ac:dyDescent="0.3">
      <c r="H5" s="133"/>
      <c r="I5" s="134"/>
      <c r="J5" s="134"/>
      <c r="K5" s="134"/>
      <c r="L5" s="135"/>
    </row>
    <row r="7" spans="8:12" x14ac:dyDescent="0.25">
      <c r="H7" s="121" t="s">
        <v>159</v>
      </c>
      <c r="I7" s="121" t="s">
        <v>160</v>
      </c>
      <c r="J7" s="121" t="s">
        <v>161</v>
      </c>
      <c r="K7" s="121" t="s">
        <v>162</v>
      </c>
      <c r="L7" s="121" t="s">
        <v>163</v>
      </c>
    </row>
    <row r="8" spans="8:12" x14ac:dyDescent="0.25">
      <c r="H8" s="124">
        <v>1</v>
      </c>
      <c r="I8" s="125" t="s">
        <v>165</v>
      </c>
      <c r="J8" s="125" t="s">
        <v>166</v>
      </c>
      <c r="K8" s="124" t="s">
        <v>167</v>
      </c>
      <c r="L8" s="122" t="s">
        <v>168</v>
      </c>
    </row>
    <row r="9" spans="8:12" x14ac:dyDescent="0.25">
      <c r="H9" s="124">
        <v>2</v>
      </c>
      <c r="I9" s="125" t="s">
        <v>169</v>
      </c>
      <c r="J9" s="125" t="s">
        <v>170</v>
      </c>
      <c r="K9" s="124" t="s">
        <v>167</v>
      </c>
      <c r="L9" s="122" t="s">
        <v>168</v>
      </c>
    </row>
    <row r="10" spans="8:12" x14ac:dyDescent="0.25">
      <c r="H10" s="124">
        <v>3</v>
      </c>
      <c r="I10" s="125" t="s">
        <v>171</v>
      </c>
      <c r="J10" s="125" t="s">
        <v>172</v>
      </c>
      <c r="K10" s="124" t="s">
        <v>167</v>
      </c>
      <c r="L10" s="126" t="s">
        <v>204</v>
      </c>
    </row>
    <row r="11" spans="8:12" x14ac:dyDescent="0.25">
      <c r="H11" s="124">
        <v>4</v>
      </c>
      <c r="I11" s="125" t="s">
        <v>173</v>
      </c>
      <c r="J11" s="125" t="s">
        <v>174</v>
      </c>
      <c r="K11" s="124" t="s">
        <v>175</v>
      </c>
      <c r="L11" s="126" t="s">
        <v>204</v>
      </c>
    </row>
    <row r="12" spans="8:12" x14ac:dyDescent="0.25">
      <c r="H12" s="124">
        <v>5</v>
      </c>
      <c r="I12" s="125" t="s">
        <v>176</v>
      </c>
      <c r="J12" s="125" t="s">
        <v>177</v>
      </c>
      <c r="K12" s="124" t="s">
        <v>167</v>
      </c>
      <c r="L12" s="126" t="s">
        <v>204</v>
      </c>
    </row>
    <row r="13" spans="8:12" x14ac:dyDescent="0.25">
      <c r="H13" s="124">
        <v>6</v>
      </c>
      <c r="I13" s="125" t="s">
        <v>178</v>
      </c>
      <c r="J13" s="125" t="s">
        <v>179</v>
      </c>
      <c r="K13" s="124" t="s">
        <v>180</v>
      </c>
      <c r="L13" s="126" t="s">
        <v>204</v>
      </c>
    </row>
    <row r="14" spans="8:12" x14ac:dyDescent="0.25">
      <c r="H14" s="124">
        <v>7</v>
      </c>
      <c r="I14" s="125" t="s">
        <v>181</v>
      </c>
      <c r="J14" s="125" t="s">
        <v>182</v>
      </c>
      <c r="K14" s="124" t="s">
        <v>175</v>
      </c>
      <c r="L14" s="126" t="s">
        <v>204</v>
      </c>
    </row>
    <row r="15" spans="8:12" x14ac:dyDescent="0.25">
      <c r="H15" s="124">
        <v>8</v>
      </c>
      <c r="I15" s="125" t="s">
        <v>183</v>
      </c>
      <c r="J15" s="125" t="s">
        <v>184</v>
      </c>
      <c r="K15" s="124" t="s">
        <v>185</v>
      </c>
      <c r="L15" s="126" t="s">
        <v>204</v>
      </c>
    </row>
    <row r="16" spans="8:12" x14ac:dyDescent="0.25">
      <c r="H16" s="124">
        <v>9</v>
      </c>
      <c r="I16" s="125" t="s">
        <v>186</v>
      </c>
      <c r="J16" s="125" t="s">
        <v>187</v>
      </c>
      <c r="K16" s="124" t="s">
        <v>175</v>
      </c>
      <c r="L16" s="122" t="s">
        <v>168</v>
      </c>
    </row>
    <row r="17" spans="8:12" x14ac:dyDescent="0.25">
      <c r="H17" s="124">
        <v>10</v>
      </c>
      <c r="I17" s="125" t="s">
        <v>205</v>
      </c>
      <c r="J17" s="125" t="s">
        <v>206</v>
      </c>
      <c r="K17" s="124" t="s">
        <v>175</v>
      </c>
      <c r="L17" s="123" t="s">
        <v>168</v>
      </c>
    </row>
    <row r="18" spans="8:12" x14ac:dyDescent="0.25">
      <c r="H18" s="124"/>
      <c r="I18" s="125"/>
      <c r="J18" s="125"/>
      <c r="K18" s="124"/>
      <c r="L18" s="123"/>
    </row>
    <row r="19" spans="8:12" x14ac:dyDescent="0.25">
      <c r="H19" s="124"/>
      <c r="I19" s="125"/>
      <c r="J19" s="125"/>
      <c r="K19" s="124"/>
      <c r="L19" s="123"/>
    </row>
    <row r="20" spans="8:12" x14ac:dyDescent="0.25">
      <c r="H20" s="124"/>
      <c r="I20" s="125"/>
      <c r="J20" s="125"/>
      <c r="K20" s="124"/>
      <c r="L20" s="123"/>
    </row>
  </sheetData>
  <mergeCells count="1">
    <mergeCell ref="H2:L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ncerrar_sessao">
                <anchor moveWithCells="1" sizeWithCells="1">
                  <from>
                    <xdr:col>12</xdr:col>
                    <xdr:colOff>219075</xdr:colOff>
                    <xdr:row>1</xdr:row>
                    <xdr:rowOff>47625</xdr:rowOff>
                  </from>
                  <to>
                    <xdr:col>14</xdr:col>
                    <xdr:colOff>209550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zoomScale="90" zoomScaleNormal="90" workbookViewId="0">
      <selection activeCell="S16" sqref="S16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4</v>
      </c>
    </row>
    <row r="2" spans="1:21" ht="19.5" thickBot="1" x14ac:dyDescent="0.3">
      <c r="B2" s="102" t="s">
        <v>3</v>
      </c>
      <c r="C2" s="101"/>
      <c r="D2" s="7"/>
      <c r="E2" s="138"/>
      <c r="F2" s="138"/>
      <c r="G2" s="138"/>
      <c r="H2" s="138"/>
      <c r="I2" s="138"/>
      <c r="J2" s="138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39" t="s">
        <v>2</v>
      </c>
      <c r="C4" s="140"/>
      <c r="D4" s="140"/>
      <c r="E4" s="140"/>
      <c r="F4" s="140"/>
      <c r="G4" s="140"/>
      <c r="H4" s="140"/>
      <c r="I4" s="140"/>
      <c r="J4" s="141"/>
    </row>
    <row r="5" spans="1:21" ht="15.95" customHeight="1" x14ac:dyDescent="0.25">
      <c r="B5" s="89" t="s">
        <v>0</v>
      </c>
      <c r="C5" s="142"/>
      <c r="D5" s="143"/>
      <c r="E5" s="143"/>
      <c r="F5" s="143"/>
      <c r="G5" s="143"/>
      <c r="H5" s="143"/>
      <c r="I5" s="143"/>
      <c r="J5" s="144"/>
    </row>
    <row r="6" spans="1:21" ht="15.95" customHeight="1" thickBot="1" x14ac:dyDescent="0.3">
      <c r="B6" s="90" t="s">
        <v>1</v>
      </c>
      <c r="C6" s="145"/>
      <c r="D6" s="146"/>
      <c r="E6" s="149" t="s">
        <v>91</v>
      </c>
      <c r="F6" s="150"/>
      <c r="G6" s="145"/>
      <c r="H6" s="147"/>
      <c r="I6" s="147"/>
      <c r="J6" s="148"/>
      <c r="U6" s="88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76" t="s">
        <v>8</v>
      </c>
      <c r="C8" s="176"/>
      <c r="D8" s="176"/>
      <c r="E8" s="176"/>
      <c r="F8" s="176"/>
      <c r="G8" s="176"/>
      <c r="H8" s="176"/>
      <c r="I8" s="176"/>
      <c r="J8" s="176"/>
      <c r="L8" s="190" t="s">
        <v>12</v>
      </c>
      <c r="M8" s="191"/>
      <c r="N8" s="191"/>
      <c r="O8" s="191"/>
      <c r="P8" s="191"/>
      <c r="Q8" s="192"/>
    </row>
    <row r="9" spans="1:21" ht="15.95" customHeight="1" thickBot="1" x14ac:dyDescent="0.3">
      <c r="B9" s="97" t="s">
        <v>13</v>
      </c>
      <c r="C9" s="187" t="s">
        <v>14</v>
      </c>
      <c r="D9" s="187"/>
      <c r="E9" s="187"/>
      <c r="F9" s="97" t="s">
        <v>15</v>
      </c>
      <c r="G9" s="97" t="s">
        <v>16</v>
      </c>
      <c r="H9" s="97" t="s">
        <v>17</v>
      </c>
      <c r="I9" s="187" t="s">
        <v>18</v>
      </c>
      <c r="J9" s="187"/>
      <c r="L9" s="193"/>
      <c r="M9" s="194"/>
      <c r="N9" s="194"/>
      <c r="O9" s="194"/>
      <c r="P9" s="194"/>
      <c r="Q9" s="195"/>
    </row>
    <row r="10" spans="1:21" ht="15.95" customHeight="1" x14ac:dyDescent="0.25">
      <c r="B10" s="98">
        <v>2012</v>
      </c>
      <c r="C10" s="137" t="str">
        <f>IF(B10="","",VLOOKUP(B10,PEDIDOS!$B$9:$E$34,2,FALSE))</f>
        <v>Kit Multimidia (Cx.Som 5.1)</v>
      </c>
      <c r="D10" s="137"/>
      <c r="E10" s="137"/>
      <c r="F10" s="98" t="str">
        <f>IF(B10="","",VLOOKUP(B10,PEDIDOS!$B$9:$E$34,4,FALSE))</f>
        <v>Eletrônicos</v>
      </c>
      <c r="G10" s="99">
        <v>5</v>
      </c>
      <c r="H10" s="100">
        <f>IF(B10="","",VLOOKUP(B10,PEDIDOS!$B$9:$E$34,3,FALSE))</f>
        <v>235</v>
      </c>
      <c r="I10" s="136">
        <f>IF(OR(G10="",H10=""),"",PRODUCT(G10:H10))</f>
        <v>1175</v>
      </c>
      <c r="J10" s="136"/>
      <c r="L10" s="177" t="s">
        <v>110</v>
      </c>
      <c r="M10" s="178"/>
      <c r="N10" s="178"/>
      <c r="O10" s="179"/>
      <c r="P10" s="183">
        <f>SMALL(H10:H18,2)</f>
        <v>125</v>
      </c>
      <c r="Q10" s="184"/>
    </row>
    <row r="11" spans="1:21" ht="15.95" customHeight="1" x14ac:dyDescent="0.25">
      <c r="B11" s="98">
        <v>2019</v>
      </c>
      <c r="C11" s="137" t="str">
        <f>IF(B11="","",VLOOKUP(B11,PEDIDOS!$B$9:$E$34,2,FALSE))</f>
        <v>Leitor de Código de Barras</v>
      </c>
      <c r="D11" s="137"/>
      <c r="E11" s="137"/>
      <c r="F11" s="98" t="str">
        <f>IF(B11="","",VLOOKUP(B11,PEDIDOS!$B$9:$E$34,4,FALSE))</f>
        <v>Informática</v>
      </c>
      <c r="G11" s="99">
        <v>14</v>
      </c>
      <c r="H11" s="100">
        <f>IF(B11="","",VLOOKUP(B11,PEDIDOS!$B$9:$E$34,3,FALSE))</f>
        <v>115</v>
      </c>
      <c r="I11" s="136">
        <f t="shared" ref="I11:I18" si="0">IF(OR(G11="",H11=""),"",PRODUCT(G11:H11))</f>
        <v>1610</v>
      </c>
      <c r="J11" s="136"/>
      <c r="L11" s="180" t="s">
        <v>111</v>
      </c>
      <c r="M11" s="181"/>
      <c r="N11" s="181"/>
      <c r="O11" s="182"/>
      <c r="P11" s="185">
        <f>LARGE(H10:H18,4)</f>
        <v>145</v>
      </c>
      <c r="Q11" s="186"/>
    </row>
    <row r="12" spans="1:21" ht="15.95" customHeight="1" x14ac:dyDescent="0.25">
      <c r="B12" s="98">
        <v>2005</v>
      </c>
      <c r="C12" s="137" t="str">
        <f>IF(B12="","",VLOOKUP(B12,PEDIDOS!$B$9:$E$34,2,FALSE))</f>
        <v>Telefone sem fio Motorola</v>
      </c>
      <c r="D12" s="137"/>
      <c r="E12" s="137"/>
      <c r="F12" s="98" t="str">
        <f>IF(B12="","",VLOOKUP(B12,PEDIDOS!$B$9:$E$34,4,FALSE))</f>
        <v>Telefonia</v>
      </c>
      <c r="G12" s="99">
        <v>23</v>
      </c>
      <c r="H12" s="100">
        <f>IF(B12="","",VLOOKUP(B12,PEDIDOS!$B$9:$E$34,3,FALSE))</f>
        <v>125</v>
      </c>
      <c r="I12" s="136">
        <f t="shared" si="0"/>
        <v>2875</v>
      </c>
      <c r="J12" s="136"/>
      <c r="L12" s="180" t="s">
        <v>19</v>
      </c>
      <c r="M12" s="181"/>
      <c r="N12" s="181"/>
      <c r="O12" s="182"/>
      <c r="P12" s="185">
        <f>AVERAGE(I10:J18)</f>
        <v>2501.6</v>
      </c>
      <c r="Q12" s="186"/>
    </row>
    <row r="13" spans="1:21" ht="15.95" customHeight="1" x14ac:dyDescent="0.25">
      <c r="B13" s="98">
        <v>2008</v>
      </c>
      <c r="C13" s="137" t="str">
        <f>IF(B13="","",VLOOKUP(B13,PEDIDOS!$B$9:$E$34,2,FALSE))</f>
        <v>Teclado sem fio Microsoft</v>
      </c>
      <c r="D13" s="137"/>
      <c r="E13" s="137"/>
      <c r="F13" s="98" t="str">
        <f>IF(B13="","",VLOOKUP(B13,PEDIDOS!$B$9:$E$34,4,FALSE))</f>
        <v>Informática</v>
      </c>
      <c r="G13" s="99">
        <v>8</v>
      </c>
      <c r="H13" s="100">
        <f>IF(B13="","",VLOOKUP(B13,PEDIDOS!$B$9:$E$34,3,FALSE))</f>
        <v>145</v>
      </c>
      <c r="I13" s="136">
        <f t="shared" si="0"/>
        <v>1160</v>
      </c>
      <c r="J13" s="136"/>
      <c r="L13" s="180" t="s">
        <v>97</v>
      </c>
      <c r="M13" s="181"/>
      <c r="N13" s="181"/>
      <c r="O13" s="182"/>
      <c r="P13" s="185">
        <f>SUMIF(F10:F18,"Informática",I10:J18)</f>
        <v>2770</v>
      </c>
      <c r="Q13" s="186"/>
    </row>
    <row r="14" spans="1:21" ht="15.95" customHeight="1" x14ac:dyDescent="0.25">
      <c r="B14" s="98">
        <v>2015</v>
      </c>
      <c r="C14" s="137" t="str">
        <f>IF(B14="","",VLOOKUP(B14,PEDIDOS!$B$9:$E$34,2,FALSE))</f>
        <v>Blu-Ray e DVD Player  - Sony</v>
      </c>
      <c r="D14" s="137"/>
      <c r="E14" s="137"/>
      <c r="F14" s="98" t="str">
        <f>IF(B14="","",VLOOKUP(B14,PEDIDOS!$B$9:$E$34,4,FALSE))</f>
        <v>Eletrônicos</v>
      </c>
      <c r="G14" s="99">
        <v>9</v>
      </c>
      <c r="H14" s="100">
        <f>IF(B14="","",VLOOKUP(B14,PEDIDOS!$B$9:$E$34,3,FALSE))</f>
        <v>632</v>
      </c>
      <c r="I14" s="136">
        <f t="shared" si="0"/>
        <v>5688</v>
      </c>
      <c r="J14" s="136"/>
      <c r="L14" s="180" t="s">
        <v>98</v>
      </c>
      <c r="M14" s="181"/>
      <c r="N14" s="181"/>
      <c r="O14" s="182"/>
      <c r="P14" s="185">
        <f>SUMIF(F10:F18,"Telefonia",I10:J18)</f>
        <v>2875</v>
      </c>
      <c r="Q14" s="186"/>
    </row>
    <row r="15" spans="1:21" ht="15.95" customHeight="1" x14ac:dyDescent="0.25">
      <c r="B15" s="98"/>
      <c r="C15" s="137" t="str">
        <f>IF(B15="","",VLOOKUP(B15,PEDIDOS!$B$9:$E$34,2,FALSE))</f>
        <v/>
      </c>
      <c r="D15" s="137"/>
      <c r="E15" s="137"/>
      <c r="F15" s="98" t="str">
        <f>IF(B15="","",VLOOKUP(B15,PEDIDOS!$B$9:$E$34,4,FALSE))</f>
        <v/>
      </c>
      <c r="G15" s="99"/>
      <c r="H15" s="100" t="str">
        <f>IF(B15="","",VLOOKUP(B15,PEDIDOS!$B$9:$E$34,3,FALSE))</f>
        <v/>
      </c>
      <c r="I15" s="136" t="str">
        <f t="shared" si="0"/>
        <v/>
      </c>
      <c r="J15" s="136"/>
      <c r="L15" s="180" t="s">
        <v>99</v>
      </c>
      <c r="M15" s="181"/>
      <c r="N15" s="181"/>
      <c r="O15" s="182"/>
      <c r="P15" s="185">
        <f>SUMIF(F10:F18,"Eletrônicos",I10:J18)</f>
        <v>6863</v>
      </c>
      <c r="Q15" s="186"/>
    </row>
    <row r="16" spans="1:21" ht="15.95" customHeight="1" x14ac:dyDescent="0.25">
      <c r="B16" s="98">
        <v>2012</v>
      </c>
      <c r="C16" s="137" t="str">
        <f>IF(B16="","",VLOOKUP(B16,PEDIDOS!$B$9:$E$34,2,FALSE))</f>
        <v>Kit Multimidia (Cx.Som 5.1)</v>
      </c>
      <c r="D16" s="137"/>
      <c r="E16" s="137"/>
      <c r="F16" s="98" t="str">
        <f>IF(B16="","",VLOOKUP(B16,PEDIDOS!$B$9:$E$34,4,FALSE))</f>
        <v>Eletrônicos</v>
      </c>
      <c r="G16" s="99"/>
      <c r="H16" s="100">
        <f>IF(B16="","",VLOOKUP(B16,PEDIDOS!$B$9:$E$34,3,FALSE))</f>
        <v>235</v>
      </c>
      <c r="I16" s="136" t="str">
        <f t="shared" si="0"/>
        <v/>
      </c>
      <c r="J16" s="136"/>
      <c r="L16" s="180" t="s">
        <v>9</v>
      </c>
      <c r="M16" s="181"/>
      <c r="N16" s="181"/>
      <c r="O16" s="182"/>
      <c r="P16" s="196">
        <f>SUMIF(F10:F18,"Informática",G10:G18)</f>
        <v>22</v>
      </c>
      <c r="Q16" s="197"/>
      <c r="R16">
        <f>COUNTIF(F10:F18,"Informática")</f>
        <v>2</v>
      </c>
    </row>
    <row r="17" spans="2:17" ht="15.95" customHeight="1" x14ac:dyDescent="0.25">
      <c r="B17" s="98"/>
      <c r="C17" s="137" t="str">
        <f>IF(B17="","",VLOOKUP(B17,PEDIDOS!$B$9:$E$34,2,FALSE))</f>
        <v/>
      </c>
      <c r="D17" s="137"/>
      <c r="E17" s="137"/>
      <c r="F17" s="98" t="str">
        <f>IF(B17="","",VLOOKUP(B17,PEDIDOS!$B$9:$E$34,4,FALSE))</f>
        <v/>
      </c>
      <c r="G17" s="99"/>
      <c r="H17" s="100" t="str">
        <f>IF(B17="","",VLOOKUP(B17,PEDIDOS!$B$9:$E$34,3,FALSE))</f>
        <v/>
      </c>
      <c r="I17" s="136" t="str">
        <f t="shared" si="0"/>
        <v/>
      </c>
      <c r="J17" s="136"/>
      <c r="L17" s="180" t="s">
        <v>10</v>
      </c>
      <c r="M17" s="181"/>
      <c r="N17" s="181"/>
      <c r="O17" s="182"/>
      <c r="P17" s="196">
        <f>SUMIF(F10:F18,"Telefonia",G10:G18)</f>
        <v>23</v>
      </c>
      <c r="Q17" s="197"/>
    </row>
    <row r="18" spans="2:17" ht="15.95" customHeight="1" thickBot="1" x14ac:dyDescent="0.3">
      <c r="B18" s="98"/>
      <c r="C18" s="137" t="str">
        <f>IF(B18="","",VLOOKUP(B18,PEDIDOS!$B$9:$E$34,2,FALSE))</f>
        <v/>
      </c>
      <c r="D18" s="137"/>
      <c r="E18" s="137"/>
      <c r="F18" s="98" t="str">
        <f>IF(B18="","",VLOOKUP(B18,PEDIDOS!$B$9:$E$34,4,FALSE))</f>
        <v/>
      </c>
      <c r="G18" s="99"/>
      <c r="H18" s="100" t="str">
        <f>IF(B18="","",VLOOKUP(B18,PEDIDOS!$B$9:$E$34,3,FALSE))</f>
        <v/>
      </c>
      <c r="I18" s="136" t="str">
        <f t="shared" si="0"/>
        <v/>
      </c>
      <c r="J18" s="136"/>
      <c r="L18" s="198" t="s">
        <v>11</v>
      </c>
      <c r="M18" s="199"/>
      <c r="N18" s="199"/>
      <c r="O18" s="200"/>
      <c r="P18" s="188">
        <f>SUMIF(F10:F18,"Eletrônicos",G10:G18)</f>
        <v>14</v>
      </c>
      <c r="Q18" s="189"/>
    </row>
    <row r="19" spans="2:17" ht="10.5" customHeight="1" thickBot="1" x14ac:dyDescent="0.3">
      <c r="B19" s="6"/>
      <c r="C19" s="6"/>
      <c r="D19" s="6"/>
      <c r="E19" s="6"/>
      <c r="F19" s="6"/>
      <c r="G19" s="6"/>
      <c r="H19" s="73" t="str">
        <f>IF(F19="","",VLOOKUP(B19,PEDIDOS!$B$9:$E$34,3))</f>
        <v/>
      </c>
      <c r="I19" s="6"/>
      <c r="J19" s="6"/>
    </row>
    <row r="20" spans="2:17" ht="15.95" customHeight="1" thickBot="1" x14ac:dyDescent="0.3">
      <c r="B20" s="158"/>
      <c r="C20" s="159"/>
      <c r="D20" s="159"/>
      <c r="E20" s="11"/>
      <c r="F20" s="91" t="s">
        <v>5</v>
      </c>
      <c r="G20" s="92"/>
      <c r="H20" s="164">
        <f>SUM(I10:J18)</f>
        <v>12508</v>
      </c>
      <c r="I20" s="165"/>
      <c r="J20" s="166"/>
      <c r="L20" s="169" t="s">
        <v>92</v>
      </c>
      <c r="M20" s="170"/>
      <c r="N20" s="170"/>
      <c r="O20" s="171"/>
    </row>
    <row r="21" spans="2:17" ht="15.95" customHeight="1" x14ac:dyDescent="0.25">
      <c r="B21" s="160"/>
      <c r="C21" s="161"/>
      <c r="D21" s="161"/>
      <c r="E21" s="12"/>
      <c r="F21" s="93" t="s">
        <v>4</v>
      </c>
      <c r="G21" s="94"/>
      <c r="H21" s="9"/>
      <c r="I21" s="8"/>
      <c r="J21" s="10"/>
      <c r="L21" s="60" t="s">
        <v>93</v>
      </c>
      <c r="M21" s="61"/>
      <c r="N21" s="174" t="s">
        <v>112</v>
      </c>
      <c r="O21" s="175"/>
    </row>
    <row r="22" spans="2:17" ht="15.95" customHeight="1" x14ac:dyDescent="0.25">
      <c r="B22" s="160"/>
      <c r="C22" s="161"/>
      <c r="D22" s="161"/>
      <c r="E22" s="12"/>
      <c r="F22" s="93" t="s">
        <v>6</v>
      </c>
      <c r="G22" s="94"/>
      <c r="H22" s="151">
        <f>IF(A1=1,H20*20%,IF(A1=4,H20*5%,"Sem Desconto"))</f>
        <v>625.40000000000009</v>
      </c>
      <c r="I22" s="136"/>
      <c r="J22" s="152"/>
      <c r="L22" s="62" t="s">
        <v>94</v>
      </c>
      <c r="M22" s="63"/>
      <c r="N22" s="153" t="s">
        <v>115</v>
      </c>
      <c r="O22" s="154"/>
    </row>
    <row r="23" spans="2:17" ht="15.95" customHeight="1" x14ac:dyDescent="0.25">
      <c r="B23" s="160"/>
      <c r="C23" s="161"/>
      <c r="D23" s="161"/>
      <c r="E23" s="12"/>
      <c r="F23" s="93" t="s">
        <v>114</v>
      </c>
      <c r="G23" s="94"/>
      <c r="H23" s="151" t="str">
        <f>IF(A1=3,(H20*109.69%)/3,"Sem parcelamento")</f>
        <v>Sem parcelamento</v>
      </c>
      <c r="I23" s="136"/>
      <c r="J23" s="152"/>
      <c r="L23" s="62" t="s">
        <v>113</v>
      </c>
      <c r="M23" s="63"/>
      <c r="N23" s="153" t="s">
        <v>116</v>
      </c>
      <c r="O23" s="154"/>
    </row>
    <row r="24" spans="2:17" ht="15.95" customHeight="1" thickBot="1" x14ac:dyDescent="0.3">
      <c r="B24" s="162"/>
      <c r="C24" s="163"/>
      <c r="D24" s="163"/>
      <c r="E24" s="13"/>
      <c r="F24" s="95" t="s">
        <v>7</v>
      </c>
      <c r="G24" s="96"/>
      <c r="H24" s="155">
        <f>IF(OR(A1=1,A1=4),H20-H22,IF(A1=2,H20*104.75%,H23*3))</f>
        <v>11882.6</v>
      </c>
      <c r="I24" s="156"/>
      <c r="J24" s="157"/>
      <c r="L24" s="167" t="s">
        <v>95</v>
      </c>
      <c r="M24" s="168"/>
      <c r="N24" s="172" t="s">
        <v>96</v>
      </c>
      <c r="O24" s="173"/>
    </row>
  </sheetData>
  <mergeCells count="57"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E2:J2"/>
    <mergeCell ref="B4:J4"/>
    <mergeCell ref="C5:J5"/>
    <mergeCell ref="C6:D6"/>
    <mergeCell ref="G6:J6"/>
    <mergeCell ref="E6:F6"/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ATENÇÃO" error="ID do Produto Inválido!" promptTitle="ATENÇÃO" prompt="Tecle o ID do Produto entre 2000 e 2025!" sqref="B10:B18" xr:uid="{FBF2E068-190B-4956-AC54-357BE8A9DA10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51" r:id="rId3" name="btn_encerrar">
          <controlPr defaultSize="0" autoLine="0" autoPict="0" r:id="rId4">
            <anchor moveWithCells="1">
              <from>
                <xdr:col>18</xdr:col>
                <xdr:colOff>228600</xdr:colOff>
                <xdr:row>3</xdr:row>
                <xdr:rowOff>0</xdr:rowOff>
              </from>
              <to>
                <xdr:col>21</xdr:col>
                <xdr:colOff>76200</xdr:colOff>
                <xdr:row>9</xdr:row>
                <xdr:rowOff>95250</xdr:rowOff>
              </to>
            </anchor>
          </controlPr>
        </control>
      </mc:Choice>
      <mc:Fallback>
        <control shapeId="2051" r:id="rId3" name="btn_encerrar"/>
      </mc:Fallback>
    </mc:AlternateContent>
    <mc:AlternateContent xmlns:mc="http://schemas.openxmlformats.org/markup-compatibility/2006">
      <mc:Choice Requires="x14">
        <control shapeId="2050" r:id="rId5" name="Drop Down 2">
          <controlPr defaultSize="0" autoLine="0" autoPict="0">
            <anchor moveWithCells="1">
              <from>
                <xdr:col>7</xdr:col>
                <xdr:colOff>9525</xdr:colOff>
                <xdr:row>20</xdr:row>
                <xdr:rowOff>0</xdr:rowOff>
              </from>
              <to>
                <xdr:col>10</xdr:col>
                <xdr:colOff>0</xdr:colOff>
                <xdr:row>20</xdr:row>
                <xdr:rowOff>190500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workbookViewId="0">
      <selection activeCell="B10" sqref="B10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8" t="s">
        <v>107</v>
      </c>
      <c r="G2" s="18"/>
      <c r="H2" s="18"/>
      <c r="I2" s="18"/>
      <c r="J2" s="18"/>
    </row>
    <row r="3" spans="2:10" x14ac:dyDescent="0.25">
      <c r="F3" s="18" t="s">
        <v>100</v>
      </c>
      <c r="G3" s="18"/>
      <c r="H3" s="18"/>
      <c r="I3" s="18"/>
      <c r="J3" s="18"/>
    </row>
    <row r="6" spans="2:10" x14ac:dyDescent="0.25">
      <c r="C6" s="17"/>
    </row>
    <row r="7" spans="2:10" ht="15.75" thickBot="1" x14ac:dyDescent="0.3">
      <c r="C7" s="17"/>
      <c r="I7" s="18"/>
    </row>
    <row r="8" spans="2:10" ht="16.5" thickBot="1" x14ac:dyDescent="0.3">
      <c r="B8" s="201" t="s">
        <v>108</v>
      </c>
      <c r="C8" s="202"/>
      <c r="D8" s="203"/>
    </row>
    <row r="9" spans="2:10" ht="9" customHeight="1" thickBot="1" x14ac:dyDescent="0.3">
      <c r="C9" s="17"/>
    </row>
    <row r="10" spans="2:10" ht="15.75" thickBot="1" x14ac:dyDescent="0.3">
      <c r="B10" s="83" t="s">
        <v>20</v>
      </c>
      <c r="C10" s="84" t="s">
        <v>21</v>
      </c>
      <c r="D10" s="83" t="s">
        <v>38</v>
      </c>
    </row>
    <row r="11" spans="2:10" outlineLevel="2" x14ac:dyDescent="0.25">
      <c r="B11" s="19" t="s">
        <v>22</v>
      </c>
      <c r="C11" s="29">
        <v>34856</v>
      </c>
      <c r="D11" s="20">
        <v>565544</v>
      </c>
      <c r="G11" s="17"/>
    </row>
    <row r="12" spans="2:10" outlineLevel="2" x14ac:dyDescent="0.25">
      <c r="B12" s="19" t="s">
        <v>22</v>
      </c>
      <c r="C12" s="30">
        <v>25221</v>
      </c>
      <c r="D12" s="21">
        <v>45214</v>
      </c>
      <c r="G12" s="17"/>
    </row>
    <row r="13" spans="2:10" outlineLevel="2" x14ac:dyDescent="0.25">
      <c r="B13" s="19" t="s">
        <v>22</v>
      </c>
      <c r="C13" s="30">
        <v>9857</v>
      </c>
      <c r="D13" s="21">
        <v>225663</v>
      </c>
      <c r="G13" s="17"/>
    </row>
    <row r="14" spans="2:10" outlineLevel="2" x14ac:dyDescent="0.25">
      <c r="B14" s="19" t="s">
        <v>22</v>
      </c>
      <c r="C14" s="30">
        <v>22336</v>
      </c>
      <c r="D14" s="21">
        <v>253654</v>
      </c>
      <c r="G14" s="17"/>
    </row>
    <row r="15" spans="2:10" outlineLevel="2" x14ac:dyDescent="0.25">
      <c r="B15" s="19" t="s">
        <v>22</v>
      </c>
      <c r="C15" s="30">
        <v>9587</v>
      </c>
      <c r="D15" s="21">
        <v>896542</v>
      </c>
      <c r="G15" s="17"/>
    </row>
    <row r="16" spans="2:10" outlineLevel="1" x14ac:dyDescent="0.25">
      <c r="B16" s="113" t="s">
        <v>129</v>
      </c>
      <c r="C16" s="30">
        <f>SUBTOTAL(9,C11:C15)</f>
        <v>101857</v>
      </c>
      <c r="D16" s="21"/>
      <c r="G16" s="17"/>
    </row>
    <row r="17" spans="2:4" outlineLevel="2" x14ac:dyDescent="0.25">
      <c r="B17" s="22" t="s">
        <v>23</v>
      </c>
      <c r="C17" s="31">
        <v>9852</v>
      </c>
      <c r="D17" s="23">
        <v>12544</v>
      </c>
    </row>
    <row r="18" spans="2:4" outlineLevel="2" x14ac:dyDescent="0.25">
      <c r="B18" s="22" t="s">
        <v>23</v>
      </c>
      <c r="C18" s="31">
        <v>11125</v>
      </c>
      <c r="D18" s="23">
        <v>25413</v>
      </c>
    </row>
    <row r="19" spans="2:4" outlineLevel="2" x14ac:dyDescent="0.25">
      <c r="B19" s="22" t="s">
        <v>23</v>
      </c>
      <c r="C19" s="30">
        <v>32556</v>
      </c>
      <c r="D19" s="21">
        <v>44474</v>
      </c>
    </row>
    <row r="20" spans="2:4" outlineLevel="2" x14ac:dyDescent="0.25">
      <c r="B20" s="22" t="s">
        <v>23</v>
      </c>
      <c r="C20" s="30">
        <v>45201</v>
      </c>
      <c r="D20" s="21">
        <v>142122</v>
      </c>
    </row>
    <row r="21" spans="2:4" outlineLevel="2" x14ac:dyDescent="0.25">
      <c r="B21" s="22" t="s">
        <v>23</v>
      </c>
      <c r="C21" s="30">
        <v>36982</v>
      </c>
      <c r="D21" s="21">
        <v>112253</v>
      </c>
    </row>
    <row r="22" spans="2:4" outlineLevel="2" x14ac:dyDescent="0.25">
      <c r="B22" s="22" t="s">
        <v>23</v>
      </c>
      <c r="C22" s="30">
        <v>41145</v>
      </c>
      <c r="D22" s="21">
        <v>121217</v>
      </c>
    </row>
    <row r="23" spans="2:4" outlineLevel="2" x14ac:dyDescent="0.25">
      <c r="B23" s="22" t="s">
        <v>23</v>
      </c>
      <c r="C23" s="30">
        <v>56632</v>
      </c>
      <c r="D23" s="21">
        <v>655554</v>
      </c>
    </row>
    <row r="24" spans="2:4" outlineLevel="2" x14ac:dyDescent="0.25">
      <c r="B24" s="22" t="s">
        <v>23</v>
      </c>
      <c r="C24" s="30">
        <v>41212</v>
      </c>
      <c r="D24" s="21">
        <v>561221</v>
      </c>
    </row>
    <row r="25" spans="2:4" outlineLevel="1" x14ac:dyDescent="0.25">
      <c r="B25" s="114" t="s">
        <v>130</v>
      </c>
      <c r="C25" s="30">
        <f>SUBTOTAL(9,C17:C24)</f>
        <v>274705</v>
      </c>
      <c r="D25" s="21"/>
    </row>
    <row r="26" spans="2:4" outlineLevel="2" x14ac:dyDescent="0.25">
      <c r="B26" s="24" t="s">
        <v>24</v>
      </c>
      <c r="C26" s="30">
        <v>19857</v>
      </c>
      <c r="D26" s="21">
        <v>121112</v>
      </c>
    </row>
    <row r="27" spans="2:4" outlineLevel="2" x14ac:dyDescent="0.25">
      <c r="B27" s="24" t="s">
        <v>24</v>
      </c>
      <c r="C27" s="30">
        <v>11741</v>
      </c>
      <c r="D27" s="21">
        <v>554112</v>
      </c>
    </row>
    <row r="28" spans="2:4" outlineLevel="2" x14ac:dyDescent="0.25">
      <c r="B28" s="24" t="s">
        <v>24</v>
      </c>
      <c r="C28" s="30">
        <v>22123</v>
      </c>
      <c r="D28" s="21">
        <v>185477</v>
      </c>
    </row>
    <row r="29" spans="2:4" outlineLevel="2" x14ac:dyDescent="0.25">
      <c r="B29" s="24" t="s">
        <v>24</v>
      </c>
      <c r="C29" s="30">
        <v>12365</v>
      </c>
      <c r="D29" s="21">
        <v>211456</v>
      </c>
    </row>
    <row r="30" spans="2:4" outlineLevel="2" x14ac:dyDescent="0.25">
      <c r="B30" s="24" t="s">
        <v>24</v>
      </c>
      <c r="C30" s="30">
        <v>6442</v>
      </c>
      <c r="D30" s="21">
        <v>121221</v>
      </c>
    </row>
    <row r="31" spans="2:4" outlineLevel="2" x14ac:dyDescent="0.25">
      <c r="B31" s="24" t="s">
        <v>24</v>
      </c>
      <c r="C31" s="30">
        <v>36985</v>
      </c>
      <c r="D31" s="21">
        <v>653222</v>
      </c>
    </row>
    <row r="32" spans="2:4" outlineLevel="1" x14ac:dyDescent="0.25">
      <c r="B32" s="115" t="s">
        <v>131</v>
      </c>
      <c r="C32" s="30">
        <f>SUBTOTAL(9,C26:C31)</f>
        <v>109513</v>
      </c>
      <c r="D32" s="21"/>
    </row>
    <row r="33" spans="2:4" outlineLevel="2" x14ac:dyDescent="0.25">
      <c r="B33" s="24" t="s">
        <v>25</v>
      </c>
      <c r="C33" s="30">
        <v>1256</v>
      </c>
      <c r="D33" s="21">
        <v>363512</v>
      </c>
    </row>
    <row r="34" spans="2:4" outlineLevel="2" x14ac:dyDescent="0.25">
      <c r="B34" s="24" t="s">
        <v>25</v>
      </c>
      <c r="C34" s="30">
        <v>985</v>
      </c>
      <c r="D34" s="21">
        <v>633221</v>
      </c>
    </row>
    <row r="35" spans="2:4" outlineLevel="2" x14ac:dyDescent="0.25">
      <c r="B35" s="24" t="s">
        <v>25</v>
      </c>
      <c r="C35" s="30">
        <v>46654.22</v>
      </c>
      <c r="D35" s="21">
        <v>545445</v>
      </c>
    </row>
    <row r="36" spans="2:4" outlineLevel="2" x14ac:dyDescent="0.25">
      <c r="B36" s="24" t="s">
        <v>25</v>
      </c>
      <c r="C36" s="30">
        <v>47242.16</v>
      </c>
      <c r="D36" s="21">
        <v>144587</v>
      </c>
    </row>
    <row r="37" spans="2:4" outlineLevel="2" x14ac:dyDescent="0.25">
      <c r="B37" s="24" t="s">
        <v>25</v>
      </c>
      <c r="C37" s="30">
        <v>47885.47</v>
      </c>
      <c r="D37" s="21">
        <v>152214</v>
      </c>
    </row>
    <row r="38" spans="2:4" outlineLevel="2" x14ac:dyDescent="0.25">
      <c r="B38" s="24" t="s">
        <v>25</v>
      </c>
      <c r="C38" s="30">
        <v>48420.45</v>
      </c>
      <c r="D38" s="21">
        <v>155634</v>
      </c>
    </row>
    <row r="39" spans="2:4" outlineLevel="1" x14ac:dyDescent="0.25">
      <c r="B39" s="115" t="s">
        <v>132</v>
      </c>
      <c r="C39" s="30">
        <f>SUBTOTAL(9,C33:C38)</f>
        <v>192443.3</v>
      </c>
      <c r="D39" s="21"/>
    </row>
    <row r="40" spans="2:4" outlineLevel="2" x14ac:dyDescent="0.25">
      <c r="B40" s="24" t="s">
        <v>26</v>
      </c>
      <c r="C40" s="30">
        <v>11232</v>
      </c>
      <c r="D40" s="21">
        <v>212211</v>
      </c>
    </row>
    <row r="41" spans="2:4" outlineLevel="2" x14ac:dyDescent="0.25">
      <c r="B41" s="24" t="s">
        <v>26</v>
      </c>
      <c r="C41" s="30">
        <v>15254</v>
      </c>
      <c r="D41" s="21">
        <v>985589</v>
      </c>
    </row>
    <row r="42" spans="2:4" outlineLevel="2" x14ac:dyDescent="0.25">
      <c r="B42" s="24" t="s">
        <v>26</v>
      </c>
      <c r="C42" s="30">
        <v>89954</v>
      </c>
      <c r="D42" s="21">
        <v>774444</v>
      </c>
    </row>
    <row r="43" spans="2:4" outlineLevel="2" x14ac:dyDescent="0.25">
      <c r="B43" s="24" t="s">
        <v>26</v>
      </c>
      <c r="C43" s="30">
        <v>78564</v>
      </c>
      <c r="D43" s="21">
        <v>985574</v>
      </c>
    </row>
    <row r="44" spans="2:4" outlineLevel="2" x14ac:dyDescent="0.25">
      <c r="B44" s="24" t="s">
        <v>26</v>
      </c>
      <c r="C44" s="30">
        <v>48963</v>
      </c>
      <c r="D44" s="25">
        <v>896523</v>
      </c>
    </row>
    <row r="45" spans="2:4" outlineLevel="2" x14ac:dyDescent="0.25">
      <c r="B45" s="24" t="s">
        <v>26</v>
      </c>
      <c r="C45" s="30">
        <v>6554</v>
      </c>
      <c r="D45" s="21">
        <v>554121</v>
      </c>
    </row>
    <row r="46" spans="2:4" outlineLevel="2" x14ac:dyDescent="0.25">
      <c r="B46" s="24" t="s">
        <v>26</v>
      </c>
      <c r="C46" s="30">
        <v>2245</v>
      </c>
      <c r="D46" s="21">
        <v>541223</v>
      </c>
    </row>
    <row r="47" spans="2:4" outlineLevel="2" x14ac:dyDescent="0.25">
      <c r="B47" s="24" t="s">
        <v>26</v>
      </c>
      <c r="C47" s="30">
        <v>6552</v>
      </c>
      <c r="D47" s="21">
        <v>411522</v>
      </c>
    </row>
    <row r="48" spans="2:4" outlineLevel="1" x14ac:dyDescent="0.25">
      <c r="B48" s="115" t="s">
        <v>133</v>
      </c>
      <c r="C48" s="30">
        <f>SUBTOTAL(9,C40:C47)</f>
        <v>259318</v>
      </c>
      <c r="D48" s="21"/>
    </row>
    <row r="49" spans="2:4" outlineLevel="2" x14ac:dyDescent="0.25">
      <c r="B49" s="24" t="s">
        <v>27</v>
      </c>
      <c r="C49" s="30">
        <v>2256</v>
      </c>
      <c r="D49" s="21">
        <v>411223</v>
      </c>
    </row>
    <row r="50" spans="2:4" outlineLevel="2" x14ac:dyDescent="0.25">
      <c r="B50" s="24" t="s">
        <v>27</v>
      </c>
      <c r="C50" s="30">
        <v>9874</v>
      </c>
      <c r="D50" s="21">
        <v>411244</v>
      </c>
    </row>
    <row r="51" spans="2:4" outlineLevel="2" x14ac:dyDescent="0.25">
      <c r="B51" s="24" t="s">
        <v>27</v>
      </c>
      <c r="C51" s="30">
        <v>5555</v>
      </c>
      <c r="D51" s="21">
        <v>221412</v>
      </c>
    </row>
    <row r="52" spans="2:4" outlineLevel="2" x14ac:dyDescent="0.25">
      <c r="B52" s="24" t="s">
        <v>27</v>
      </c>
      <c r="C52" s="31">
        <v>22251</v>
      </c>
      <c r="D52" s="23">
        <v>21555</v>
      </c>
    </row>
    <row r="53" spans="2:4" outlineLevel="2" x14ac:dyDescent="0.25">
      <c r="B53" s="24" t="s">
        <v>27</v>
      </c>
      <c r="C53" s="31">
        <v>19852</v>
      </c>
      <c r="D53" s="23">
        <v>15452</v>
      </c>
    </row>
    <row r="54" spans="2:4" outlineLevel="2" x14ac:dyDescent="0.25">
      <c r="B54" s="24" t="s">
        <v>27</v>
      </c>
      <c r="C54" s="31">
        <v>48963</v>
      </c>
      <c r="D54" s="23">
        <v>256314</v>
      </c>
    </row>
    <row r="55" spans="2:4" outlineLevel="2" x14ac:dyDescent="0.25">
      <c r="B55" s="24" t="s">
        <v>27</v>
      </c>
      <c r="C55" s="30">
        <v>14411</v>
      </c>
      <c r="D55" s="21">
        <v>115474</v>
      </c>
    </row>
    <row r="56" spans="2:4" outlineLevel="1" x14ac:dyDescent="0.25">
      <c r="B56" s="115" t="s">
        <v>134</v>
      </c>
      <c r="C56" s="30">
        <f>SUBTOTAL(9,C49:C55)</f>
        <v>123162</v>
      </c>
      <c r="D56" s="21"/>
    </row>
    <row r="57" spans="2:4" outlineLevel="2" x14ac:dyDescent="0.25">
      <c r="B57" s="24" t="s">
        <v>28</v>
      </c>
      <c r="C57" s="30">
        <v>142987</v>
      </c>
      <c r="D57" s="21">
        <v>114212</v>
      </c>
    </row>
    <row r="58" spans="2:4" outlineLevel="2" x14ac:dyDescent="0.25">
      <c r="B58" s="24" t="s">
        <v>28</v>
      </c>
      <c r="C58" s="30">
        <v>52698</v>
      </c>
      <c r="D58" s="21">
        <v>256332</v>
      </c>
    </row>
    <row r="59" spans="2:4" outlineLevel="2" x14ac:dyDescent="0.25">
      <c r="B59" s="24" t="s">
        <v>28</v>
      </c>
      <c r="C59" s="30">
        <v>45678</v>
      </c>
      <c r="D59" s="21">
        <v>215211</v>
      </c>
    </row>
    <row r="60" spans="2:4" outlineLevel="2" x14ac:dyDescent="0.25">
      <c r="B60" s="24" t="s">
        <v>28</v>
      </c>
      <c r="C60" s="30">
        <v>12526</v>
      </c>
      <c r="D60" s="21">
        <v>225148</v>
      </c>
    </row>
    <row r="61" spans="2:4" outlineLevel="2" x14ac:dyDescent="0.25">
      <c r="B61" s="24" t="s">
        <v>28</v>
      </c>
      <c r="C61" s="30">
        <v>23456</v>
      </c>
      <c r="D61" s="21">
        <v>256984</v>
      </c>
    </row>
    <row r="62" spans="2:4" outlineLevel="1" x14ac:dyDescent="0.25">
      <c r="B62" s="115" t="s">
        <v>135</v>
      </c>
      <c r="C62" s="30">
        <f>SUBTOTAL(9,C57:C61)</f>
        <v>277345</v>
      </c>
      <c r="D62" s="21"/>
    </row>
    <row r="63" spans="2:4" outlineLevel="2" x14ac:dyDescent="0.25">
      <c r="B63" s="24" t="s">
        <v>29</v>
      </c>
      <c r="C63" s="30">
        <v>97654</v>
      </c>
      <c r="D63" s="21">
        <v>112154</v>
      </c>
    </row>
    <row r="64" spans="2:4" outlineLevel="2" x14ac:dyDescent="0.25">
      <c r="B64" s="24" t="s">
        <v>29</v>
      </c>
      <c r="C64" s="30">
        <v>56789</v>
      </c>
      <c r="D64" s="21">
        <v>248963</v>
      </c>
    </row>
    <row r="65" spans="2:4" outlineLevel="2" x14ac:dyDescent="0.25">
      <c r="B65" s="24" t="s">
        <v>29</v>
      </c>
      <c r="C65" s="30">
        <v>36987</v>
      </c>
      <c r="D65" s="21">
        <v>256489</v>
      </c>
    </row>
    <row r="66" spans="2:4" outlineLevel="2" x14ac:dyDescent="0.25">
      <c r="B66" s="24" t="s">
        <v>29</v>
      </c>
      <c r="C66" s="30">
        <v>123456</v>
      </c>
      <c r="D66" s="21">
        <v>122536</v>
      </c>
    </row>
    <row r="67" spans="2:4" outlineLevel="2" x14ac:dyDescent="0.25">
      <c r="B67" s="24" t="s">
        <v>29</v>
      </c>
      <c r="C67" s="30">
        <v>25859</v>
      </c>
      <c r="D67" s="21">
        <v>568854</v>
      </c>
    </row>
    <row r="68" spans="2:4" outlineLevel="2" x14ac:dyDescent="0.25">
      <c r="B68" s="24" t="s">
        <v>29</v>
      </c>
      <c r="C68" s="30">
        <v>17896</v>
      </c>
      <c r="D68" s="21">
        <v>556352</v>
      </c>
    </row>
    <row r="69" spans="2:4" outlineLevel="2" x14ac:dyDescent="0.25">
      <c r="B69" s="24" t="s">
        <v>29</v>
      </c>
      <c r="C69" s="30">
        <v>49076</v>
      </c>
      <c r="D69" s="21">
        <v>552854</v>
      </c>
    </row>
    <row r="70" spans="2:4" outlineLevel="2" x14ac:dyDescent="0.25">
      <c r="B70" s="24" t="s">
        <v>29</v>
      </c>
      <c r="C70" s="30">
        <v>28965</v>
      </c>
      <c r="D70" s="21">
        <v>122525</v>
      </c>
    </row>
    <row r="71" spans="2:4" outlineLevel="2" x14ac:dyDescent="0.25">
      <c r="B71" s="24" t="s">
        <v>29</v>
      </c>
      <c r="C71" s="30">
        <v>36985</v>
      </c>
      <c r="D71" s="21">
        <v>241221</v>
      </c>
    </row>
    <row r="72" spans="2:4" outlineLevel="1" x14ac:dyDescent="0.25">
      <c r="B72" s="115" t="s">
        <v>136</v>
      </c>
      <c r="C72" s="30">
        <f>SUBTOTAL(9,C63:C71)</f>
        <v>473667</v>
      </c>
      <c r="D72" s="21"/>
    </row>
    <row r="73" spans="2:4" outlineLevel="2" x14ac:dyDescent="0.25">
      <c r="B73" s="24" t="s">
        <v>30</v>
      </c>
      <c r="C73" s="30">
        <v>45632</v>
      </c>
      <c r="D73" s="21">
        <v>656254</v>
      </c>
    </row>
    <row r="74" spans="2:4" outlineLevel="2" x14ac:dyDescent="0.25">
      <c r="B74" s="24" t="s">
        <v>30</v>
      </c>
      <c r="C74" s="30">
        <v>24896</v>
      </c>
      <c r="D74" s="21">
        <v>654101</v>
      </c>
    </row>
    <row r="75" spans="2:4" outlineLevel="2" x14ac:dyDescent="0.25">
      <c r="B75" s="24" t="s">
        <v>30</v>
      </c>
      <c r="C75" s="30">
        <v>17596</v>
      </c>
      <c r="D75" s="21">
        <v>556652</v>
      </c>
    </row>
    <row r="76" spans="2:4" outlineLevel="2" x14ac:dyDescent="0.25">
      <c r="B76" s="24" t="s">
        <v>30</v>
      </c>
      <c r="C76" s="30">
        <v>5698</v>
      </c>
      <c r="D76" s="21">
        <v>454541</v>
      </c>
    </row>
    <row r="77" spans="2:4" outlineLevel="2" x14ac:dyDescent="0.25">
      <c r="B77" s="24" t="s">
        <v>30</v>
      </c>
      <c r="C77" s="30">
        <v>9865</v>
      </c>
      <c r="D77" s="21">
        <v>322221</v>
      </c>
    </row>
    <row r="78" spans="2:4" outlineLevel="2" x14ac:dyDescent="0.25">
      <c r="B78" s="24" t="s">
        <v>30</v>
      </c>
      <c r="C78" s="30">
        <v>12365</v>
      </c>
      <c r="D78" s="21">
        <v>256544</v>
      </c>
    </row>
    <row r="79" spans="2:4" outlineLevel="2" x14ac:dyDescent="0.25">
      <c r="B79" s="24" t="s">
        <v>30</v>
      </c>
      <c r="C79" s="30">
        <v>12124</v>
      </c>
      <c r="D79" s="21">
        <v>561121</v>
      </c>
    </row>
    <row r="80" spans="2:4" outlineLevel="2" x14ac:dyDescent="0.25">
      <c r="B80" s="24" t="s">
        <v>30</v>
      </c>
      <c r="C80" s="30">
        <v>18965</v>
      </c>
      <c r="D80" s="21">
        <v>574544</v>
      </c>
    </row>
    <row r="81" spans="2:6" outlineLevel="2" x14ac:dyDescent="0.25">
      <c r="B81" s="24" t="s">
        <v>30</v>
      </c>
      <c r="C81" s="30">
        <v>21145</v>
      </c>
      <c r="D81" s="21">
        <v>157445</v>
      </c>
    </row>
    <row r="82" spans="2:6" outlineLevel="1" x14ac:dyDescent="0.25">
      <c r="B82" s="115" t="s">
        <v>137</v>
      </c>
      <c r="C82" s="30">
        <f>SUBTOTAL(9,C73:C81)</f>
        <v>168286</v>
      </c>
      <c r="D82" s="21"/>
    </row>
    <row r="83" spans="2:6" outlineLevel="2" x14ac:dyDescent="0.25">
      <c r="B83" s="24" t="s">
        <v>31</v>
      </c>
      <c r="C83" s="30">
        <v>14545</v>
      </c>
      <c r="D83" s="21">
        <v>111522</v>
      </c>
    </row>
    <row r="84" spans="2:6" outlineLevel="2" x14ac:dyDescent="0.25">
      <c r="B84" s="24" t="s">
        <v>31</v>
      </c>
      <c r="C84" s="30">
        <v>12566</v>
      </c>
      <c r="D84" s="21">
        <v>112235</v>
      </c>
    </row>
    <row r="85" spans="2:6" outlineLevel="2" x14ac:dyDescent="0.25">
      <c r="B85" s="24" t="s">
        <v>31</v>
      </c>
      <c r="C85" s="30">
        <v>17854</v>
      </c>
      <c r="D85" s="21">
        <v>211142</v>
      </c>
      <c r="F85" s="26"/>
    </row>
    <row r="86" spans="2:6" outlineLevel="2" x14ac:dyDescent="0.25">
      <c r="B86" s="24" t="s">
        <v>31</v>
      </c>
      <c r="C86" s="30">
        <v>19325</v>
      </c>
      <c r="D86" s="21">
        <v>211331</v>
      </c>
    </row>
    <row r="87" spans="2:6" outlineLevel="2" x14ac:dyDescent="0.25">
      <c r="B87" s="24" t="s">
        <v>31</v>
      </c>
      <c r="C87" s="30">
        <v>16544</v>
      </c>
      <c r="D87" s="21">
        <v>654122</v>
      </c>
    </row>
    <row r="88" spans="2:6" outlineLevel="2" x14ac:dyDescent="0.25">
      <c r="B88" s="24" t="s">
        <v>31</v>
      </c>
      <c r="C88" s="30">
        <v>25632</v>
      </c>
      <c r="D88" s="21">
        <v>565213</v>
      </c>
    </row>
    <row r="89" spans="2:6" outlineLevel="1" x14ac:dyDescent="0.25">
      <c r="B89" s="115" t="s">
        <v>138</v>
      </c>
      <c r="C89" s="30">
        <f>SUBTOTAL(9,C83:C88)</f>
        <v>106466</v>
      </c>
      <c r="D89" s="21"/>
    </row>
    <row r="90" spans="2:6" outlineLevel="2" x14ac:dyDescent="0.25">
      <c r="B90" s="24" t="s">
        <v>32</v>
      </c>
      <c r="C90" s="30">
        <v>14567</v>
      </c>
      <c r="D90" s="21">
        <v>263589</v>
      </c>
    </row>
    <row r="91" spans="2:6" outlineLevel="2" x14ac:dyDescent="0.25">
      <c r="B91" s="24" t="s">
        <v>32</v>
      </c>
      <c r="C91" s="30">
        <v>38763</v>
      </c>
      <c r="D91" s="21">
        <v>126655</v>
      </c>
    </row>
    <row r="92" spans="2:6" outlineLevel="2" x14ac:dyDescent="0.25">
      <c r="B92" s="24" t="s">
        <v>32</v>
      </c>
      <c r="C92" s="30">
        <v>14552</v>
      </c>
      <c r="D92" s="25">
        <v>122636</v>
      </c>
    </row>
    <row r="93" spans="2:6" outlineLevel="2" x14ac:dyDescent="0.25">
      <c r="B93" s="24" t="s">
        <v>32</v>
      </c>
      <c r="C93" s="30">
        <v>34567</v>
      </c>
      <c r="D93" s="25">
        <v>156636</v>
      </c>
    </row>
    <row r="94" spans="2:6" outlineLevel="2" x14ac:dyDescent="0.25">
      <c r="B94" s="24" t="s">
        <v>32</v>
      </c>
      <c r="C94" s="30">
        <v>76889</v>
      </c>
      <c r="D94" s="21">
        <v>141252</v>
      </c>
    </row>
    <row r="95" spans="2:6" outlineLevel="2" x14ac:dyDescent="0.25">
      <c r="B95" s="24" t="s">
        <v>32</v>
      </c>
      <c r="C95" s="30">
        <v>34324</v>
      </c>
      <c r="D95" s="21">
        <v>225412</v>
      </c>
    </row>
    <row r="96" spans="2:6" outlineLevel="2" x14ac:dyDescent="0.25">
      <c r="B96" s="24" t="s">
        <v>32</v>
      </c>
      <c r="C96" s="30">
        <v>19976</v>
      </c>
      <c r="D96" s="21">
        <v>365212</v>
      </c>
    </row>
    <row r="97" spans="2:4" outlineLevel="1" x14ac:dyDescent="0.25">
      <c r="B97" s="115" t="s">
        <v>139</v>
      </c>
      <c r="C97" s="30">
        <f>SUBTOTAL(9,C90:C96)</f>
        <v>233638</v>
      </c>
      <c r="D97" s="21"/>
    </row>
    <row r="98" spans="2:4" outlineLevel="2" x14ac:dyDescent="0.25">
      <c r="B98" s="24" t="s">
        <v>33</v>
      </c>
      <c r="C98" s="30">
        <v>115567</v>
      </c>
      <c r="D98" s="21">
        <v>114522</v>
      </c>
    </row>
    <row r="99" spans="2:4" outlineLevel="2" x14ac:dyDescent="0.25">
      <c r="B99" s="24" t="s">
        <v>33</v>
      </c>
      <c r="C99" s="30">
        <v>98756</v>
      </c>
      <c r="D99" s="21">
        <v>655654</v>
      </c>
    </row>
    <row r="100" spans="2:4" outlineLevel="2" x14ac:dyDescent="0.25">
      <c r="B100" s="24" t="s">
        <v>33</v>
      </c>
      <c r="C100" s="30">
        <v>56789</v>
      </c>
      <c r="D100" s="21">
        <v>112554</v>
      </c>
    </row>
    <row r="101" spans="2:4" outlineLevel="2" x14ac:dyDescent="0.25">
      <c r="B101" s="24" t="s">
        <v>33</v>
      </c>
      <c r="C101" s="30">
        <v>65456</v>
      </c>
      <c r="D101" s="21">
        <v>663541</v>
      </c>
    </row>
    <row r="102" spans="2:4" outlineLevel="2" x14ac:dyDescent="0.25">
      <c r="B102" s="24" t="s">
        <v>33</v>
      </c>
      <c r="C102" s="30">
        <v>36789</v>
      </c>
      <c r="D102" s="21">
        <v>211122</v>
      </c>
    </row>
    <row r="103" spans="2:4" outlineLevel="2" x14ac:dyDescent="0.25">
      <c r="B103" s="24" t="s">
        <v>33</v>
      </c>
      <c r="C103" s="30">
        <v>65467</v>
      </c>
      <c r="D103" s="21">
        <v>226541</v>
      </c>
    </row>
    <row r="104" spans="2:4" outlineLevel="2" x14ac:dyDescent="0.25">
      <c r="B104" s="24" t="s">
        <v>33</v>
      </c>
      <c r="C104" s="30">
        <v>23456</v>
      </c>
      <c r="D104" s="21">
        <v>541141</v>
      </c>
    </row>
    <row r="105" spans="2:4" outlineLevel="2" x14ac:dyDescent="0.25">
      <c r="B105" s="24" t="s">
        <v>33</v>
      </c>
      <c r="C105" s="30">
        <v>54322</v>
      </c>
      <c r="D105" s="21">
        <v>522151</v>
      </c>
    </row>
    <row r="106" spans="2:4" outlineLevel="1" x14ac:dyDescent="0.25">
      <c r="B106" s="115" t="s">
        <v>140</v>
      </c>
      <c r="C106" s="30">
        <f>SUBTOTAL(9,C98:C105)</f>
        <v>516602</v>
      </c>
      <c r="D106" s="21"/>
    </row>
    <row r="107" spans="2:4" outlineLevel="2" x14ac:dyDescent="0.25">
      <c r="B107" s="24" t="s">
        <v>34</v>
      </c>
      <c r="C107" s="30">
        <v>14585</v>
      </c>
      <c r="D107" s="25">
        <v>511152</v>
      </c>
    </row>
    <row r="108" spans="2:4" outlineLevel="2" x14ac:dyDescent="0.25">
      <c r="B108" s="24" t="s">
        <v>34</v>
      </c>
      <c r="C108" s="30">
        <v>9876</v>
      </c>
      <c r="D108" s="25">
        <v>656252</v>
      </c>
    </row>
    <row r="109" spans="2:4" outlineLevel="2" x14ac:dyDescent="0.25">
      <c r="B109" s="24" t="s">
        <v>34</v>
      </c>
      <c r="C109" s="30">
        <v>6754</v>
      </c>
      <c r="D109" s="25">
        <v>422112</v>
      </c>
    </row>
    <row r="110" spans="2:4" outlineLevel="2" x14ac:dyDescent="0.25">
      <c r="B110" s="24" t="s">
        <v>34</v>
      </c>
      <c r="C110" s="30">
        <v>3456</v>
      </c>
      <c r="D110" s="21">
        <v>212221</v>
      </c>
    </row>
    <row r="111" spans="2:4" outlineLevel="1" x14ac:dyDescent="0.25">
      <c r="B111" s="115" t="s">
        <v>141</v>
      </c>
      <c r="C111" s="30">
        <f>SUBTOTAL(9,C107:C110)</f>
        <v>34671</v>
      </c>
      <c r="D111" s="21"/>
    </row>
    <row r="112" spans="2:4" outlineLevel="2" x14ac:dyDescent="0.25">
      <c r="B112" s="24" t="s">
        <v>39</v>
      </c>
      <c r="C112" s="30">
        <v>45678</v>
      </c>
      <c r="D112" s="21">
        <v>332211</v>
      </c>
    </row>
    <row r="113" spans="2:4" outlineLevel="2" x14ac:dyDescent="0.25">
      <c r="B113" s="24" t="s">
        <v>39</v>
      </c>
      <c r="C113" s="30">
        <v>32456</v>
      </c>
      <c r="D113" s="21">
        <v>445643</v>
      </c>
    </row>
    <row r="114" spans="2:4" outlineLevel="2" x14ac:dyDescent="0.25">
      <c r="B114" s="24" t="s">
        <v>39</v>
      </c>
      <c r="C114" s="30">
        <v>12347</v>
      </c>
      <c r="D114" s="21">
        <v>754455</v>
      </c>
    </row>
    <row r="115" spans="2:4" outlineLevel="2" x14ac:dyDescent="0.25">
      <c r="B115" s="24" t="s">
        <v>39</v>
      </c>
      <c r="C115" s="30">
        <v>97900</v>
      </c>
      <c r="D115" s="21">
        <v>654766</v>
      </c>
    </row>
    <row r="116" spans="2:4" outlineLevel="2" x14ac:dyDescent="0.25">
      <c r="B116" s="24" t="s">
        <v>39</v>
      </c>
      <c r="C116" s="30">
        <v>13456</v>
      </c>
      <c r="D116" s="21">
        <v>768543</v>
      </c>
    </row>
    <row r="117" spans="2:4" outlineLevel="2" x14ac:dyDescent="0.25">
      <c r="B117" s="24" t="s">
        <v>39</v>
      </c>
      <c r="C117" s="30">
        <v>78954</v>
      </c>
      <c r="D117" s="21">
        <v>343456</v>
      </c>
    </row>
    <row r="118" spans="2:4" outlineLevel="1" x14ac:dyDescent="0.25">
      <c r="B118" s="115" t="s">
        <v>142</v>
      </c>
      <c r="C118" s="30">
        <f>SUBTOTAL(9,C112:C117)</f>
        <v>280791</v>
      </c>
      <c r="D118" s="21"/>
    </row>
    <row r="119" spans="2:4" outlineLevel="2" x14ac:dyDescent="0.25">
      <c r="B119" s="24" t="s">
        <v>35</v>
      </c>
      <c r="C119" s="30">
        <v>16789</v>
      </c>
      <c r="D119" s="21">
        <v>552111</v>
      </c>
    </row>
    <row r="120" spans="2:4" outlineLevel="2" x14ac:dyDescent="0.25">
      <c r="B120" s="24" t="s">
        <v>35</v>
      </c>
      <c r="C120" s="30">
        <v>56789</v>
      </c>
      <c r="D120" s="21">
        <v>256332</v>
      </c>
    </row>
    <row r="121" spans="2:4" outlineLevel="2" x14ac:dyDescent="0.25">
      <c r="B121" s="24" t="s">
        <v>35</v>
      </c>
      <c r="C121" s="30">
        <v>23456</v>
      </c>
      <c r="D121" s="21">
        <v>554232</v>
      </c>
    </row>
    <row r="122" spans="2:4" outlineLevel="2" x14ac:dyDescent="0.25">
      <c r="B122" s="24" t="s">
        <v>35</v>
      </c>
      <c r="C122" s="30">
        <v>65432</v>
      </c>
      <c r="D122" s="21">
        <v>455524</v>
      </c>
    </row>
    <row r="123" spans="2:4" outlineLevel="2" x14ac:dyDescent="0.25">
      <c r="B123" s="24" t="s">
        <v>35</v>
      </c>
      <c r="C123" s="30">
        <v>21234</v>
      </c>
      <c r="D123" s="21">
        <v>556321</v>
      </c>
    </row>
    <row r="124" spans="2:4" outlineLevel="2" x14ac:dyDescent="0.25">
      <c r="B124" s="24" t="s">
        <v>35</v>
      </c>
      <c r="C124" s="30">
        <v>11224</v>
      </c>
      <c r="D124" s="21">
        <v>541255</v>
      </c>
    </row>
    <row r="125" spans="2:4" outlineLevel="1" x14ac:dyDescent="0.25">
      <c r="B125" s="115" t="s">
        <v>143</v>
      </c>
      <c r="C125" s="30">
        <f>SUBTOTAL(9,C119:C124)</f>
        <v>194924</v>
      </c>
      <c r="D125" s="21"/>
    </row>
    <row r="126" spans="2:4" outlineLevel="2" x14ac:dyDescent="0.25">
      <c r="B126" s="24" t="s">
        <v>36</v>
      </c>
      <c r="C126" s="30">
        <v>17525</v>
      </c>
      <c r="D126" s="21">
        <v>526321</v>
      </c>
    </row>
    <row r="127" spans="2:4" outlineLevel="2" x14ac:dyDescent="0.25">
      <c r="B127" s="24" t="s">
        <v>36</v>
      </c>
      <c r="C127" s="30">
        <v>25983</v>
      </c>
      <c r="D127" s="21">
        <v>565121</v>
      </c>
    </row>
    <row r="128" spans="2:4" outlineLevel="2" x14ac:dyDescent="0.25">
      <c r="B128" s="24" t="s">
        <v>36</v>
      </c>
      <c r="C128" s="30">
        <v>56662</v>
      </c>
      <c r="D128" s="21">
        <v>231566</v>
      </c>
    </row>
    <row r="129" spans="2:4" outlineLevel="2" x14ac:dyDescent="0.25">
      <c r="B129" s="24" t="s">
        <v>36</v>
      </c>
      <c r="C129" s="30">
        <v>66523</v>
      </c>
      <c r="D129" s="21">
        <v>366544</v>
      </c>
    </row>
    <row r="130" spans="2:4" outlineLevel="2" x14ac:dyDescent="0.25">
      <c r="B130" s="24" t="s">
        <v>36</v>
      </c>
      <c r="C130" s="30">
        <v>89652</v>
      </c>
      <c r="D130" s="21">
        <v>662354</v>
      </c>
    </row>
    <row r="131" spans="2:4" outlineLevel="2" x14ac:dyDescent="0.25">
      <c r="B131" s="24" t="s">
        <v>36</v>
      </c>
      <c r="C131" s="30">
        <v>23365</v>
      </c>
      <c r="D131" s="21">
        <v>665522</v>
      </c>
    </row>
    <row r="132" spans="2:4" outlineLevel="2" x14ac:dyDescent="0.25">
      <c r="B132" s="24" t="s">
        <v>36</v>
      </c>
      <c r="C132" s="30">
        <v>36985</v>
      </c>
      <c r="D132" s="25">
        <v>668523</v>
      </c>
    </row>
    <row r="133" spans="2:4" outlineLevel="2" x14ac:dyDescent="0.25">
      <c r="B133" s="24" t="s">
        <v>36</v>
      </c>
      <c r="C133" s="30">
        <v>56635</v>
      </c>
      <c r="D133" s="21">
        <v>555441</v>
      </c>
    </row>
    <row r="134" spans="2:4" outlineLevel="1" x14ac:dyDescent="0.25">
      <c r="B134" s="115" t="s">
        <v>144</v>
      </c>
      <c r="C134" s="30">
        <f>SUBTOTAL(9,C126:C133)</f>
        <v>373330</v>
      </c>
      <c r="D134" s="21"/>
    </row>
    <row r="135" spans="2:4" outlineLevel="2" x14ac:dyDescent="0.25">
      <c r="B135" s="24" t="s">
        <v>37</v>
      </c>
      <c r="C135" s="30">
        <v>113456</v>
      </c>
      <c r="D135" s="21">
        <v>122000</v>
      </c>
    </row>
    <row r="136" spans="2:4" outlineLevel="2" x14ac:dyDescent="0.25">
      <c r="B136" s="24" t="s">
        <v>37</v>
      </c>
      <c r="C136" s="30">
        <v>97654</v>
      </c>
      <c r="D136" s="21">
        <v>454545</v>
      </c>
    </row>
    <row r="137" spans="2:4" outlineLevel="2" x14ac:dyDescent="0.25">
      <c r="B137" s="24" t="s">
        <v>37</v>
      </c>
      <c r="C137" s="30">
        <v>22234</v>
      </c>
      <c r="D137" s="21">
        <v>565544</v>
      </c>
    </row>
    <row r="138" spans="2:4" outlineLevel="2" x14ac:dyDescent="0.25">
      <c r="B138" s="24" t="s">
        <v>37</v>
      </c>
      <c r="C138" s="30">
        <v>33456</v>
      </c>
      <c r="D138" s="21">
        <v>556441</v>
      </c>
    </row>
    <row r="139" spans="2:4" outlineLevel="2" x14ac:dyDescent="0.25">
      <c r="B139" s="24" t="s">
        <v>37</v>
      </c>
      <c r="C139" s="30">
        <v>35872</v>
      </c>
      <c r="D139" s="21">
        <v>556544</v>
      </c>
    </row>
    <row r="140" spans="2:4" outlineLevel="2" x14ac:dyDescent="0.25">
      <c r="B140" s="24" t="s">
        <v>37</v>
      </c>
      <c r="C140" s="30">
        <v>25893</v>
      </c>
      <c r="D140" s="21">
        <v>122533</v>
      </c>
    </row>
    <row r="141" spans="2:4" ht="15.75" outlineLevel="2" thickBot="1" x14ac:dyDescent="0.3">
      <c r="B141" s="27" t="s">
        <v>37</v>
      </c>
      <c r="C141" s="32">
        <v>65891</v>
      </c>
      <c r="D141" s="28">
        <v>125221</v>
      </c>
    </row>
    <row r="142" spans="2:4" outlineLevel="1" x14ac:dyDescent="0.25">
      <c r="B142" s="118" t="s">
        <v>145</v>
      </c>
      <c r="C142" s="116">
        <f>SUBTOTAL(9,C135:C141)</f>
        <v>394456</v>
      </c>
      <c r="D142" s="117"/>
    </row>
    <row r="143" spans="2:4" x14ac:dyDescent="0.25">
      <c r="B143" s="118" t="s">
        <v>146</v>
      </c>
      <c r="C143" s="116">
        <f>SUBTOTAL(9,C11:C141)</f>
        <v>4115174.3</v>
      </c>
      <c r="D143" s="117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2" workbookViewId="0">
      <selection activeCell="E26" sqref="E26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41" t="s">
        <v>127</v>
      </c>
    </row>
    <row r="4" spans="2:14" x14ac:dyDescent="0.25">
      <c r="F4" s="41" t="s">
        <v>106</v>
      </c>
    </row>
    <row r="6" spans="2:14" x14ac:dyDescent="0.25">
      <c r="N6" s="64"/>
    </row>
    <row r="7" spans="2:14" ht="15.75" thickBot="1" x14ac:dyDescent="0.3"/>
    <row r="8" spans="2:14" ht="16.5" thickBot="1" x14ac:dyDescent="0.3">
      <c r="B8" s="201" t="s">
        <v>109</v>
      </c>
      <c r="C8" s="202"/>
      <c r="D8" s="202"/>
      <c r="F8" s="201" t="s">
        <v>40</v>
      </c>
      <c r="G8" s="203"/>
    </row>
    <row r="9" spans="2:14" ht="8.25" customHeight="1" thickBot="1" x14ac:dyDescent="0.3">
      <c r="G9" s="17"/>
    </row>
    <row r="10" spans="2:14" ht="15.75" thickBot="1" x14ac:dyDescent="0.3">
      <c r="B10" s="83" t="s">
        <v>20</v>
      </c>
      <c r="C10" s="84" t="s">
        <v>21</v>
      </c>
      <c r="D10" s="83" t="s">
        <v>38</v>
      </c>
      <c r="F10" s="85" t="s">
        <v>20</v>
      </c>
      <c r="G10" s="86" t="s">
        <v>128</v>
      </c>
    </row>
    <row r="11" spans="2:14" x14ac:dyDescent="0.25">
      <c r="B11" s="19" t="s">
        <v>22</v>
      </c>
      <c r="C11" s="29">
        <v>34856</v>
      </c>
      <c r="D11" s="20">
        <v>565544</v>
      </c>
      <c r="F11" s="38" t="s">
        <v>22</v>
      </c>
      <c r="G11" s="33">
        <v>20371.400000000001</v>
      </c>
      <c r="H11" s="87"/>
    </row>
    <row r="12" spans="2:14" x14ac:dyDescent="0.25">
      <c r="B12" s="19" t="s">
        <v>22</v>
      </c>
      <c r="C12" s="30">
        <v>25221</v>
      </c>
      <c r="D12" s="21">
        <v>45214</v>
      </c>
      <c r="F12" s="22" t="s">
        <v>23</v>
      </c>
      <c r="G12" s="34">
        <v>34338.125</v>
      </c>
      <c r="H12" s="87"/>
    </row>
    <row r="13" spans="2:14" x14ac:dyDescent="0.25">
      <c r="B13" s="19" t="s">
        <v>22</v>
      </c>
      <c r="C13" s="30">
        <v>9857</v>
      </c>
      <c r="D13" s="21">
        <v>225663</v>
      </c>
      <c r="F13" s="24" t="s">
        <v>24</v>
      </c>
      <c r="G13" s="34">
        <v>18252.166666666668</v>
      </c>
      <c r="H13" s="87"/>
    </row>
    <row r="14" spans="2:14" x14ac:dyDescent="0.25">
      <c r="B14" s="19" t="s">
        <v>22</v>
      </c>
      <c r="C14" s="30">
        <v>22336</v>
      </c>
      <c r="D14" s="21">
        <v>253654</v>
      </c>
      <c r="F14" s="24" t="s">
        <v>25</v>
      </c>
      <c r="G14" s="34">
        <v>32073.883333333331</v>
      </c>
      <c r="H14" s="87"/>
    </row>
    <row r="15" spans="2:14" x14ac:dyDescent="0.25">
      <c r="B15" s="19" t="s">
        <v>22</v>
      </c>
      <c r="C15" s="30">
        <v>9587</v>
      </c>
      <c r="D15" s="21">
        <v>896542</v>
      </c>
      <c r="F15" s="24" t="s">
        <v>26</v>
      </c>
      <c r="G15" s="34">
        <v>32414.75</v>
      </c>
      <c r="H15" s="87"/>
    </row>
    <row r="16" spans="2:14" x14ac:dyDescent="0.25">
      <c r="B16" s="22" t="s">
        <v>23</v>
      </c>
      <c r="C16" s="31">
        <v>9852</v>
      </c>
      <c r="D16" s="23">
        <v>12544</v>
      </c>
      <c r="F16" s="22" t="s">
        <v>27</v>
      </c>
      <c r="G16" s="35">
        <v>17594.571428571428</v>
      </c>
      <c r="H16" s="87"/>
    </row>
    <row r="17" spans="2:8" x14ac:dyDescent="0.25">
      <c r="B17" s="22" t="s">
        <v>23</v>
      </c>
      <c r="C17" s="31">
        <v>11125</v>
      </c>
      <c r="D17" s="23">
        <v>25413</v>
      </c>
      <c r="F17" s="22" t="s">
        <v>28</v>
      </c>
      <c r="G17" s="35">
        <v>55469</v>
      </c>
      <c r="H17" s="87"/>
    </row>
    <row r="18" spans="2:8" x14ac:dyDescent="0.25">
      <c r="B18" s="22" t="s">
        <v>23</v>
      </c>
      <c r="C18" s="30">
        <v>32556</v>
      </c>
      <c r="D18" s="21">
        <v>44474</v>
      </c>
      <c r="F18" s="22" t="s">
        <v>29</v>
      </c>
      <c r="G18" s="34">
        <v>52629.666666666664</v>
      </c>
      <c r="H18" s="87"/>
    </row>
    <row r="19" spans="2:8" x14ac:dyDescent="0.25">
      <c r="B19" s="22" t="s">
        <v>23</v>
      </c>
      <c r="C19" s="30">
        <v>45201</v>
      </c>
      <c r="D19" s="21">
        <v>142122</v>
      </c>
      <c r="F19" s="22" t="s">
        <v>30</v>
      </c>
      <c r="G19" s="34">
        <v>18698.444444444445</v>
      </c>
      <c r="H19" s="87"/>
    </row>
    <row r="20" spans="2:8" x14ac:dyDescent="0.25">
      <c r="B20" s="22" t="s">
        <v>23</v>
      </c>
      <c r="C20" s="30">
        <v>36982</v>
      </c>
      <c r="D20" s="21">
        <v>112253</v>
      </c>
      <c r="F20" s="22" t="s">
        <v>31</v>
      </c>
      <c r="G20" s="34">
        <v>17744.333333333332</v>
      </c>
      <c r="H20" s="87"/>
    </row>
    <row r="21" spans="2:8" x14ac:dyDescent="0.25">
      <c r="B21" s="22" t="s">
        <v>23</v>
      </c>
      <c r="C21" s="30">
        <v>41145</v>
      </c>
      <c r="D21" s="21">
        <v>121217</v>
      </c>
      <c r="F21" s="22" t="s">
        <v>32</v>
      </c>
      <c r="G21" s="34">
        <v>33376.857142857145</v>
      </c>
      <c r="H21" s="87"/>
    </row>
    <row r="22" spans="2:8" x14ac:dyDescent="0.25">
      <c r="B22" s="22" t="s">
        <v>23</v>
      </c>
      <c r="C22" s="30">
        <v>56632</v>
      </c>
      <c r="D22" s="21">
        <v>655554</v>
      </c>
      <c r="F22" s="22" t="s">
        <v>33</v>
      </c>
      <c r="G22" s="34">
        <v>64575.25</v>
      </c>
      <c r="H22" s="87"/>
    </row>
    <row r="23" spans="2:8" x14ac:dyDescent="0.25">
      <c r="B23" s="22" t="s">
        <v>23</v>
      </c>
      <c r="C23" s="30">
        <v>41212</v>
      </c>
      <c r="D23" s="21">
        <v>561221</v>
      </c>
      <c r="F23" s="22" t="s">
        <v>34</v>
      </c>
      <c r="G23" s="34">
        <v>8667.75</v>
      </c>
    </row>
    <row r="24" spans="2:8" x14ac:dyDescent="0.25">
      <c r="B24" s="24" t="s">
        <v>24</v>
      </c>
      <c r="C24" s="30">
        <v>19857</v>
      </c>
      <c r="D24" s="21">
        <v>121112</v>
      </c>
      <c r="F24" s="39" t="s">
        <v>39</v>
      </c>
      <c r="G24" s="36">
        <v>46798.5</v>
      </c>
      <c r="H24" s="87"/>
    </row>
    <row r="25" spans="2:8" x14ac:dyDescent="0.25">
      <c r="B25" s="24" t="s">
        <v>24</v>
      </c>
      <c r="C25" s="30">
        <v>11741</v>
      </c>
      <c r="D25" s="21">
        <v>554112</v>
      </c>
      <c r="F25" s="39" t="s">
        <v>35</v>
      </c>
      <c r="G25" s="36">
        <v>32487.333333333332</v>
      </c>
      <c r="H25" s="87"/>
    </row>
    <row r="26" spans="2:8" x14ac:dyDescent="0.25">
      <c r="B26" s="24" t="s">
        <v>24</v>
      </c>
      <c r="C26" s="30">
        <v>22123</v>
      </c>
      <c r="D26" s="21">
        <v>185477</v>
      </c>
      <c r="F26" s="39" t="s">
        <v>36</v>
      </c>
      <c r="G26" s="36">
        <v>46666.25</v>
      </c>
      <c r="H26" s="87"/>
    </row>
    <row r="27" spans="2:8" ht="15.75" thickBot="1" x14ac:dyDescent="0.3">
      <c r="B27" s="24" t="s">
        <v>24</v>
      </c>
      <c r="C27" s="30">
        <v>12365</v>
      </c>
      <c r="D27" s="21">
        <v>211456</v>
      </c>
      <c r="F27" s="40" t="s">
        <v>37</v>
      </c>
      <c r="G27" s="37">
        <v>56350.857142857145</v>
      </c>
      <c r="H27" s="87"/>
    </row>
    <row r="28" spans="2:8" x14ac:dyDescent="0.25">
      <c r="B28" s="24" t="s">
        <v>24</v>
      </c>
      <c r="C28" s="30">
        <v>6442</v>
      </c>
      <c r="D28" s="21">
        <v>121221</v>
      </c>
    </row>
    <row r="29" spans="2:8" x14ac:dyDescent="0.25">
      <c r="B29" s="24" t="s">
        <v>24</v>
      </c>
      <c r="C29" s="30">
        <v>36985</v>
      </c>
      <c r="D29" s="21">
        <v>653222</v>
      </c>
    </row>
    <row r="30" spans="2:8" x14ac:dyDescent="0.25">
      <c r="B30" s="24" t="s">
        <v>25</v>
      </c>
      <c r="C30" s="30">
        <v>1256</v>
      </c>
      <c r="D30" s="21">
        <v>363512</v>
      </c>
    </row>
    <row r="31" spans="2:8" x14ac:dyDescent="0.25">
      <c r="B31" s="24" t="s">
        <v>25</v>
      </c>
      <c r="C31" s="30">
        <v>985</v>
      </c>
      <c r="D31" s="21">
        <v>633221</v>
      </c>
    </row>
    <row r="32" spans="2:8" x14ac:dyDescent="0.25">
      <c r="B32" s="24" t="s">
        <v>25</v>
      </c>
      <c r="C32" s="30">
        <v>46654.22</v>
      </c>
      <c r="D32" s="21">
        <v>545445</v>
      </c>
    </row>
    <row r="33" spans="2:4" x14ac:dyDescent="0.25">
      <c r="B33" s="24" t="s">
        <v>25</v>
      </c>
      <c r="C33" s="30">
        <v>47242.16</v>
      </c>
      <c r="D33" s="21">
        <v>144587</v>
      </c>
    </row>
    <row r="34" spans="2:4" x14ac:dyDescent="0.25">
      <c r="B34" s="24" t="s">
        <v>25</v>
      </c>
      <c r="C34" s="30">
        <v>47885.47</v>
      </c>
      <c r="D34" s="21">
        <v>152214</v>
      </c>
    </row>
    <row r="35" spans="2:4" x14ac:dyDescent="0.25">
      <c r="B35" s="24" t="s">
        <v>25</v>
      </c>
      <c r="C35" s="30">
        <v>48420.45</v>
      </c>
      <c r="D35" s="21">
        <v>155634</v>
      </c>
    </row>
    <row r="36" spans="2:4" x14ac:dyDescent="0.25">
      <c r="B36" s="24" t="s">
        <v>26</v>
      </c>
      <c r="C36" s="30">
        <v>11232</v>
      </c>
      <c r="D36" s="21">
        <v>212211</v>
      </c>
    </row>
    <row r="37" spans="2:4" x14ac:dyDescent="0.25">
      <c r="B37" s="24" t="s">
        <v>26</v>
      </c>
      <c r="C37" s="30">
        <v>15254</v>
      </c>
      <c r="D37" s="21">
        <v>985589</v>
      </c>
    </row>
    <row r="38" spans="2:4" x14ac:dyDescent="0.25">
      <c r="B38" s="24" t="s">
        <v>26</v>
      </c>
      <c r="C38" s="30">
        <v>89954</v>
      </c>
      <c r="D38" s="21">
        <v>774444</v>
      </c>
    </row>
    <row r="39" spans="2:4" x14ac:dyDescent="0.25">
      <c r="B39" s="24" t="s">
        <v>26</v>
      </c>
      <c r="C39" s="30">
        <v>78564</v>
      </c>
      <c r="D39" s="21">
        <v>985574</v>
      </c>
    </row>
    <row r="40" spans="2:4" x14ac:dyDescent="0.25">
      <c r="B40" s="24" t="s">
        <v>26</v>
      </c>
      <c r="C40" s="30">
        <v>48963</v>
      </c>
      <c r="D40" s="25">
        <v>896523</v>
      </c>
    </row>
    <row r="41" spans="2:4" x14ac:dyDescent="0.25">
      <c r="B41" s="24" t="s">
        <v>26</v>
      </c>
      <c r="C41" s="30">
        <v>6554</v>
      </c>
      <c r="D41" s="21">
        <v>554121</v>
      </c>
    </row>
    <row r="42" spans="2:4" x14ac:dyDescent="0.25">
      <c r="B42" s="24" t="s">
        <v>26</v>
      </c>
      <c r="C42" s="30">
        <v>2245</v>
      </c>
      <c r="D42" s="21">
        <v>541223</v>
      </c>
    </row>
    <row r="43" spans="2:4" x14ac:dyDescent="0.25">
      <c r="B43" s="24" t="s">
        <v>26</v>
      </c>
      <c r="C43" s="30">
        <v>6552</v>
      </c>
      <c r="D43" s="21">
        <v>411522</v>
      </c>
    </row>
    <row r="44" spans="2:4" x14ac:dyDescent="0.25">
      <c r="B44" s="24" t="s">
        <v>27</v>
      </c>
      <c r="C44" s="30">
        <v>2256</v>
      </c>
      <c r="D44" s="21">
        <v>411223</v>
      </c>
    </row>
    <row r="45" spans="2:4" x14ac:dyDescent="0.25">
      <c r="B45" s="24" t="s">
        <v>27</v>
      </c>
      <c r="C45" s="30">
        <v>9874</v>
      </c>
      <c r="D45" s="21">
        <v>411244</v>
      </c>
    </row>
    <row r="46" spans="2:4" x14ac:dyDescent="0.25">
      <c r="B46" s="24" t="s">
        <v>27</v>
      </c>
      <c r="C46" s="30">
        <v>5555</v>
      </c>
      <c r="D46" s="21">
        <v>221412</v>
      </c>
    </row>
    <row r="47" spans="2:4" x14ac:dyDescent="0.25">
      <c r="B47" s="24" t="s">
        <v>27</v>
      </c>
      <c r="C47" s="31">
        <v>22251</v>
      </c>
      <c r="D47" s="23">
        <v>21555</v>
      </c>
    </row>
    <row r="48" spans="2:4" x14ac:dyDescent="0.25">
      <c r="B48" s="24" t="s">
        <v>27</v>
      </c>
      <c r="C48" s="31">
        <v>19852</v>
      </c>
      <c r="D48" s="23">
        <v>15452</v>
      </c>
    </row>
    <row r="49" spans="2:4" x14ac:dyDescent="0.25">
      <c r="B49" s="24" t="s">
        <v>27</v>
      </c>
      <c r="C49" s="31">
        <v>48963</v>
      </c>
      <c r="D49" s="23">
        <v>256314</v>
      </c>
    </row>
    <row r="50" spans="2:4" x14ac:dyDescent="0.25">
      <c r="B50" s="24" t="s">
        <v>27</v>
      </c>
      <c r="C50" s="30">
        <v>14411</v>
      </c>
      <c r="D50" s="21">
        <v>115474</v>
      </c>
    </row>
    <row r="51" spans="2:4" x14ac:dyDescent="0.25">
      <c r="B51" s="24" t="s">
        <v>28</v>
      </c>
      <c r="C51" s="30">
        <v>142987</v>
      </c>
      <c r="D51" s="21">
        <v>114212</v>
      </c>
    </row>
    <row r="52" spans="2:4" x14ac:dyDescent="0.25">
      <c r="B52" s="24" t="s">
        <v>28</v>
      </c>
      <c r="C52" s="30">
        <v>52698</v>
      </c>
      <c r="D52" s="21">
        <v>256332</v>
      </c>
    </row>
    <row r="53" spans="2:4" x14ac:dyDescent="0.25">
      <c r="B53" s="24" t="s">
        <v>28</v>
      </c>
      <c r="C53" s="30">
        <v>45678</v>
      </c>
      <c r="D53" s="21">
        <v>215211</v>
      </c>
    </row>
    <row r="54" spans="2:4" x14ac:dyDescent="0.25">
      <c r="B54" s="24" t="s">
        <v>28</v>
      </c>
      <c r="C54" s="30">
        <v>12526</v>
      </c>
      <c r="D54" s="21">
        <v>225148</v>
      </c>
    </row>
    <row r="55" spans="2:4" x14ac:dyDescent="0.25">
      <c r="B55" s="24" t="s">
        <v>28</v>
      </c>
      <c r="C55" s="30">
        <v>23456</v>
      </c>
      <c r="D55" s="21">
        <v>256984</v>
      </c>
    </row>
    <row r="56" spans="2:4" x14ac:dyDescent="0.25">
      <c r="B56" s="24" t="s">
        <v>29</v>
      </c>
      <c r="C56" s="30">
        <v>97654</v>
      </c>
      <c r="D56" s="21">
        <v>112154</v>
      </c>
    </row>
    <row r="57" spans="2:4" x14ac:dyDescent="0.25">
      <c r="B57" s="24" t="s">
        <v>29</v>
      </c>
      <c r="C57" s="30">
        <v>56789</v>
      </c>
      <c r="D57" s="21">
        <v>248963</v>
      </c>
    </row>
    <row r="58" spans="2:4" x14ac:dyDescent="0.25">
      <c r="B58" s="24" t="s">
        <v>29</v>
      </c>
      <c r="C58" s="30">
        <v>36987</v>
      </c>
      <c r="D58" s="21">
        <v>256489</v>
      </c>
    </row>
    <row r="59" spans="2:4" x14ac:dyDescent="0.25">
      <c r="B59" s="24" t="s">
        <v>29</v>
      </c>
      <c r="C59" s="30">
        <v>123456</v>
      </c>
      <c r="D59" s="21">
        <v>122536</v>
      </c>
    </row>
    <row r="60" spans="2:4" x14ac:dyDescent="0.25">
      <c r="B60" s="24" t="s">
        <v>29</v>
      </c>
      <c r="C60" s="30">
        <v>25859</v>
      </c>
      <c r="D60" s="21">
        <v>568854</v>
      </c>
    </row>
    <row r="61" spans="2:4" x14ac:dyDescent="0.25">
      <c r="B61" s="24" t="s">
        <v>29</v>
      </c>
      <c r="C61" s="30">
        <v>17896</v>
      </c>
      <c r="D61" s="21">
        <v>556352</v>
      </c>
    </row>
    <row r="62" spans="2:4" x14ac:dyDescent="0.25">
      <c r="B62" s="24" t="s">
        <v>29</v>
      </c>
      <c r="C62" s="30">
        <v>49076</v>
      </c>
      <c r="D62" s="21">
        <v>552854</v>
      </c>
    </row>
    <row r="63" spans="2:4" x14ac:dyDescent="0.25">
      <c r="B63" s="24" t="s">
        <v>29</v>
      </c>
      <c r="C63" s="30">
        <v>28965</v>
      </c>
      <c r="D63" s="21">
        <v>122525</v>
      </c>
    </row>
    <row r="64" spans="2:4" x14ac:dyDescent="0.25">
      <c r="B64" s="24" t="s">
        <v>29</v>
      </c>
      <c r="C64" s="30">
        <v>36985</v>
      </c>
      <c r="D64" s="21">
        <v>241221</v>
      </c>
    </row>
    <row r="65" spans="2:4" x14ac:dyDescent="0.25">
      <c r="B65" s="24" t="s">
        <v>30</v>
      </c>
      <c r="C65" s="30">
        <v>45632</v>
      </c>
      <c r="D65" s="21">
        <v>656254</v>
      </c>
    </row>
    <row r="66" spans="2:4" x14ac:dyDescent="0.25">
      <c r="B66" s="24" t="s">
        <v>30</v>
      </c>
      <c r="C66" s="30">
        <v>24896</v>
      </c>
      <c r="D66" s="21">
        <v>654101</v>
      </c>
    </row>
    <row r="67" spans="2:4" x14ac:dyDescent="0.25">
      <c r="B67" s="24" t="s">
        <v>30</v>
      </c>
      <c r="C67" s="30">
        <v>17596</v>
      </c>
      <c r="D67" s="21">
        <v>556652</v>
      </c>
    </row>
    <row r="68" spans="2:4" x14ac:dyDescent="0.25">
      <c r="B68" s="24" t="s">
        <v>30</v>
      </c>
      <c r="C68" s="30">
        <v>5698</v>
      </c>
      <c r="D68" s="21">
        <v>454541</v>
      </c>
    </row>
    <row r="69" spans="2:4" x14ac:dyDescent="0.25">
      <c r="B69" s="24" t="s">
        <v>30</v>
      </c>
      <c r="C69" s="30">
        <v>9865</v>
      </c>
      <c r="D69" s="21">
        <v>322221</v>
      </c>
    </row>
    <row r="70" spans="2:4" x14ac:dyDescent="0.25">
      <c r="B70" s="24" t="s">
        <v>30</v>
      </c>
      <c r="C70" s="30">
        <v>12365</v>
      </c>
      <c r="D70" s="21">
        <v>256544</v>
      </c>
    </row>
    <row r="71" spans="2:4" x14ac:dyDescent="0.25">
      <c r="B71" s="24" t="s">
        <v>30</v>
      </c>
      <c r="C71" s="30">
        <v>12124</v>
      </c>
      <c r="D71" s="21">
        <v>561121</v>
      </c>
    </row>
    <row r="72" spans="2:4" x14ac:dyDescent="0.25">
      <c r="B72" s="24" t="s">
        <v>30</v>
      </c>
      <c r="C72" s="30">
        <v>18965</v>
      </c>
      <c r="D72" s="21">
        <v>574544</v>
      </c>
    </row>
    <row r="73" spans="2:4" x14ac:dyDescent="0.25">
      <c r="B73" s="24" t="s">
        <v>30</v>
      </c>
      <c r="C73" s="30">
        <v>21145</v>
      </c>
      <c r="D73" s="21">
        <v>157445</v>
      </c>
    </row>
    <row r="74" spans="2:4" x14ac:dyDescent="0.25">
      <c r="B74" s="24" t="s">
        <v>31</v>
      </c>
      <c r="C74" s="30">
        <v>14545</v>
      </c>
      <c r="D74" s="21">
        <v>111522</v>
      </c>
    </row>
    <row r="75" spans="2:4" x14ac:dyDescent="0.25">
      <c r="B75" s="24" t="s">
        <v>31</v>
      </c>
      <c r="C75" s="30">
        <v>12566</v>
      </c>
      <c r="D75" s="21">
        <v>112235</v>
      </c>
    </row>
    <row r="76" spans="2:4" x14ac:dyDescent="0.25">
      <c r="B76" s="24" t="s">
        <v>31</v>
      </c>
      <c r="C76" s="30">
        <v>17854</v>
      </c>
      <c r="D76" s="21">
        <v>211142</v>
      </c>
    </row>
    <row r="77" spans="2:4" x14ac:dyDescent="0.25">
      <c r="B77" s="24" t="s">
        <v>31</v>
      </c>
      <c r="C77" s="30">
        <v>19325</v>
      </c>
      <c r="D77" s="21">
        <v>211331</v>
      </c>
    </row>
    <row r="78" spans="2:4" x14ac:dyDescent="0.25">
      <c r="B78" s="24" t="s">
        <v>31</v>
      </c>
      <c r="C78" s="30">
        <v>16544</v>
      </c>
      <c r="D78" s="21">
        <v>654122</v>
      </c>
    </row>
    <row r="79" spans="2:4" x14ac:dyDescent="0.25">
      <c r="B79" s="24" t="s">
        <v>31</v>
      </c>
      <c r="C79" s="30">
        <v>25632</v>
      </c>
      <c r="D79" s="21">
        <v>565213</v>
      </c>
    </row>
    <row r="80" spans="2:4" x14ac:dyDescent="0.25">
      <c r="B80" s="24" t="s">
        <v>32</v>
      </c>
      <c r="C80" s="30">
        <v>14567</v>
      </c>
      <c r="D80" s="21">
        <v>263589</v>
      </c>
    </row>
    <row r="81" spans="2:4" x14ac:dyDescent="0.25">
      <c r="B81" s="24" t="s">
        <v>32</v>
      </c>
      <c r="C81" s="30">
        <v>38763</v>
      </c>
      <c r="D81" s="21">
        <v>126655</v>
      </c>
    </row>
    <row r="82" spans="2:4" x14ac:dyDescent="0.25">
      <c r="B82" s="24" t="s">
        <v>32</v>
      </c>
      <c r="C82" s="30">
        <v>14552</v>
      </c>
      <c r="D82" s="25">
        <v>122636</v>
      </c>
    </row>
    <row r="83" spans="2:4" x14ac:dyDescent="0.25">
      <c r="B83" s="24" t="s">
        <v>32</v>
      </c>
      <c r="C83" s="30">
        <v>34567</v>
      </c>
      <c r="D83" s="25">
        <v>156636</v>
      </c>
    </row>
    <row r="84" spans="2:4" x14ac:dyDescent="0.25">
      <c r="B84" s="24" t="s">
        <v>32</v>
      </c>
      <c r="C84" s="30">
        <v>76889</v>
      </c>
      <c r="D84" s="21">
        <v>141252</v>
      </c>
    </row>
    <row r="85" spans="2:4" x14ac:dyDescent="0.25">
      <c r="B85" s="24" t="s">
        <v>32</v>
      </c>
      <c r="C85" s="30">
        <v>34324</v>
      </c>
      <c r="D85" s="21">
        <v>225412</v>
      </c>
    </row>
    <row r="86" spans="2:4" x14ac:dyDescent="0.25">
      <c r="B86" s="24" t="s">
        <v>32</v>
      </c>
      <c r="C86" s="30">
        <v>19976</v>
      </c>
      <c r="D86" s="21">
        <v>365212</v>
      </c>
    </row>
    <row r="87" spans="2:4" x14ac:dyDescent="0.25">
      <c r="B87" s="24" t="s">
        <v>33</v>
      </c>
      <c r="C87" s="30">
        <v>115567</v>
      </c>
      <c r="D87" s="21">
        <v>114522</v>
      </c>
    </row>
    <row r="88" spans="2:4" x14ac:dyDescent="0.25">
      <c r="B88" s="24" t="s">
        <v>33</v>
      </c>
      <c r="C88" s="30">
        <v>98756</v>
      </c>
      <c r="D88" s="21">
        <v>655654</v>
      </c>
    </row>
    <row r="89" spans="2:4" x14ac:dyDescent="0.25">
      <c r="B89" s="24" t="s">
        <v>33</v>
      </c>
      <c r="C89" s="30">
        <v>56789</v>
      </c>
      <c r="D89" s="21">
        <v>112554</v>
      </c>
    </row>
    <row r="90" spans="2:4" x14ac:dyDescent="0.25">
      <c r="B90" s="24" t="s">
        <v>33</v>
      </c>
      <c r="C90" s="30">
        <v>65456</v>
      </c>
      <c r="D90" s="21">
        <v>663541</v>
      </c>
    </row>
    <row r="91" spans="2:4" x14ac:dyDescent="0.25">
      <c r="B91" s="24" t="s">
        <v>33</v>
      </c>
      <c r="C91" s="30">
        <v>36789</v>
      </c>
      <c r="D91" s="21">
        <v>211122</v>
      </c>
    </row>
    <row r="92" spans="2:4" x14ac:dyDescent="0.25">
      <c r="B92" s="24" t="s">
        <v>33</v>
      </c>
      <c r="C92" s="30">
        <v>65467</v>
      </c>
      <c r="D92" s="21">
        <v>226541</v>
      </c>
    </row>
    <row r="93" spans="2:4" x14ac:dyDescent="0.25">
      <c r="B93" s="24" t="s">
        <v>33</v>
      </c>
      <c r="C93" s="30">
        <v>23456</v>
      </c>
      <c r="D93" s="21">
        <v>541141</v>
      </c>
    </row>
    <row r="94" spans="2:4" x14ac:dyDescent="0.25">
      <c r="B94" s="24" t="s">
        <v>33</v>
      </c>
      <c r="C94" s="30">
        <v>54322</v>
      </c>
      <c r="D94" s="21">
        <v>522151</v>
      </c>
    </row>
    <row r="95" spans="2:4" x14ac:dyDescent="0.25">
      <c r="B95" s="24" t="s">
        <v>34</v>
      </c>
      <c r="C95" s="30">
        <v>14585</v>
      </c>
      <c r="D95" s="25">
        <v>511152</v>
      </c>
    </row>
    <row r="96" spans="2:4" x14ac:dyDescent="0.25">
      <c r="B96" s="24" t="s">
        <v>34</v>
      </c>
      <c r="C96" s="30">
        <v>9876</v>
      </c>
      <c r="D96" s="25">
        <v>656252</v>
      </c>
    </row>
    <row r="97" spans="2:4" x14ac:dyDescent="0.25">
      <c r="B97" s="24" t="s">
        <v>34</v>
      </c>
      <c r="C97" s="30">
        <v>6754</v>
      </c>
      <c r="D97" s="25">
        <v>422112</v>
      </c>
    </row>
    <row r="98" spans="2:4" x14ac:dyDescent="0.25">
      <c r="B98" s="24" t="s">
        <v>34</v>
      </c>
      <c r="C98" s="30">
        <v>3456</v>
      </c>
      <c r="D98" s="21">
        <v>212221</v>
      </c>
    </row>
    <row r="99" spans="2:4" x14ac:dyDescent="0.25">
      <c r="B99" s="24" t="s">
        <v>39</v>
      </c>
      <c r="C99" s="30">
        <v>45678</v>
      </c>
      <c r="D99" s="21">
        <v>332211</v>
      </c>
    </row>
    <row r="100" spans="2:4" x14ac:dyDescent="0.25">
      <c r="B100" s="24" t="s">
        <v>39</v>
      </c>
      <c r="C100" s="30">
        <v>32456</v>
      </c>
      <c r="D100" s="21">
        <v>445643</v>
      </c>
    </row>
    <row r="101" spans="2:4" x14ac:dyDescent="0.25">
      <c r="B101" s="24" t="s">
        <v>39</v>
      </c>
      <c r="C101" s="30">
        <v>12347</v>
      </c>
      <c r="D101" s="21">
        <v>754455</v>
      </c>
    </row>
    <row r="102" spans="2:4" x14ac:dyDescent="0.25">
      <c r="B102" s="24" t="s">
        <v>39</v>
      </c>
      <c r="C102" s="30">
        <v>97900</v>
      </c>
      <c r="D102" s="21">
        <v>654766</v>
      </c>
    </row>
    <row r="103" spans="2:4" x14ac:dyDescent="0.25">
      <c r="B103" s="24" t="s">
        <v>39</v>
      </c>
      <c r="C103" s="30">
        <v>13456</v>
      </c>
      <c r="D103" s="21">
        <v>768543</v>
      </c>
    </row>
    <row r="104" spans="2:4" x14ac:dyDescent="0.25">
      <c r="B104" s="24" t="s">
        <v>39</v>
      </c>
      <c r="C104" s="30">
        <v>78954</v>
      </c>
      <c r="D104" s="21">
        <v>343456</v>
      </c>
    </row>
    <row r="105" spans="2:4" x14ac:dyDescent="0.25">
      <c r="B105" s="24" t="s">
        <v>35</v>
      </c>
      <c r="C105" s="30">
        <v>16789</v>
      </c>
      <c r="D105" s="21">
        <v>552111</v>
      </c>
    </row>
    <row r="106" spans="2:4" x14ac:dyDescent="0.25">
      <c r="B106" s="24" t="s">
        <v>35</v>
      </c>
      <c r="C106" s="30">
        <v>56789</v>
      </c>
      <c r="D106" s="21">
        <v>256332</v>
      </c>
    </row>
    <row r="107" spans="2:4" x14ac:dyDescent="0.25">
      <c r="B107" s="24" t="s">
        <v>35</v>
      </c>
      <c r="C107" s="30">
        <v>23456</v>
      </c>
      <c r="D107" s="21">
        <v>554232</v>
      </c>
    </row>
    <row r="108" spans="2:4" x14ac:dyDescent="0.25">
      <c r="B108" s="24" t="s">
        <v>35</v>
      </c>
      <c r="C108" s="30">
        <v>65432</v>
      </c>
      <c r="D108" s="21">
        <v>455524</v>
      </c>
    </row>
    <row r="109" spans="2:4" x14ac:dyDescent="0.25">
      <c r="B109" s="24" t="s">
        <v>35</v>
      </c>
      <c r="C109" s="30">
        <v>21234</v>
      </c>
      <c r="D109" s="21">
        <v>556321</v>
      </c>
    </row>
    <row r="110" spans="2:4" x14ac:dyDescent="0.25">
      <c r="B110" s="24" t="s">
        <v>35</v>
      </c>
      <c r="C110" s="30">
        <v>11224</v>
      </c>
      <c r="D110" s="21">
        <v>541255</v>
      </c>
    </row>
    <row r="111" spans="2:4" x14ac:dyDescent="0.25">
      <c r="B111" s="24" t="s">
        <v>36</v>
      </c>
      <c r="C111" s="30">
        <v>17525</v>
      </c>
      <c r="D111" s="21">
        <v>526321</v>
      </c>
    </row>
    <row r="112" spans="2:4" x14ac:dyDescent="0.25">
      <c r="B112" s="24" t="s">
        <v>36</v>
      </c>
      <c r="C112" s="30">
        <v>25983</v>
      </c>
      <c r="D112" s="21">
        <v>565121</v>
      </c>
    </row>
    <row r="113" spans="2:4" x14ac:dyDescent="0.25">
      <c r="B113" s="24" t="s">
        <v>36</v>
      </c>
      <c r="C113" s="30">
        <v>56662</v>
      </c>
      <c r="D113" s="21">
        <v>231566</v>
      </c>
    </row>
    <row r="114" spans="2:4" x14ac:dyDescent="0.25">
      <c r="B114" s="24" t="s">
        <v>36</v>
      </c>
      <c r="C114" s="30">
        <v>66523</v>
      </c>
      <c r="D114" s="21">
        <v>366544</v>
      </c>
    </row>
    <row r="115" spans="2:4" x14ac:dyDescent="0.25">
      <c r="B115" s="24" t="s">
        <v>36</v>
      </c>
      <c r="C115" s="30">
        <v>89652</v>
      </c>
      <c r="D115" s="21">
        <v>662354</v>
      </c>
    </row>
    <row r="116" spans="2:4" x14ac:dyDescent="0.25">
      <c r="B116" s="24" t="s">
        <v>36</v>
      </c>
      <c r="C116" s="30">
        <v>23365</v>
      </c>
      <c r="D116" s="21">
        <v>665522</v>
      </c>
    </row>
    <row r="117" spans="2:4" x14ac:dyDescent="0.25">
      <c r="B117" s="24" t="s">
        <v>36</v>
      </c>
      <c r="C117" s="30">
        <v>36985</v>
      </c>
      <c r="D117" s="25">
        <v>668523</v>
      </c>
    </row>
    <row r="118" spans="2:4" x14ac:dyDescent="0.25">
      <c r="B118" s="24" t="s">
        <v>36</v>
      </c>
      <c r="C118" s="30">
        <v>56635</v>
      </c>
      <c r="D118" s="21">
        <v>555441</v>
      </c>
    </row>
    <row r="119" spans="2:4" x14ac:dyDescent="0.25">
      <c r="B119" s="24" t="s">
        <v>37</v>
      </c>
      <c r="C119" s="30">
        <v>113456</v>
      </c>
      <c r="D119" s="21">
        <v>122000</v>
      </c>
    </row>
    <row r="120" spans="2:4" x14ac:dyDescent="0.25">
      <c r="B120" s="24" t="s">
        <v>37</v>
      </c>
      <c r="C120" s="30">
        <v>97654</v>
      </c>
      <c r="D120" s="21">
        <v>454545</v>
      </c>
    </row>
    <row r="121" spans="2:4" x14ac:dyDescent="0.25">
      <c r="B121" s="24" t="s">
        <v>37</v>
      </c>
      <c r="C121" s="30">
        <v>22234</v>
      </c>
      <c r="D121" s="21">
        <v>565544</v>
      </c>
    </row>
    <row r="122" spans="2:4" x14ac:dyDescent="0.25">
      <c r="B122" s="24" t="s">
        <v>37</v>
      </c>
      <c r="C122" s="30">
        <v>33456</v>
      </c>
      <c r="D122" s="21">
        <v>556441</v>
      </c>
    </row>
    <row r="123" spans="2:4" x14ac:dyDescent="0.25">
      <c r="B123" s="24" t="s">
        <v>37</v>
      </c>
      <c r="C123" s="30">
        <v>35872</v>
      </c>
      <c r="D123" s="21">
        <v>556544</v>
      </c>
    </row>
    <row r="124" spans="2:4" x14ac:dyDescent="0.25">
      <c r="B124" s="24" t="s">
        <v>37</v>
      </c>
      <c r="C124" s="30">
        <v>25893</v>
      </c>
      <c r="D124" s="21">
        <v>122533</v>
      </c>
    </row>
    <row r="125" spans="2:4" ht="15.75" thickBot="1" x14ac:dyDescent="0.3">
      <c r="B125" s="27" t="s">
        <v>37</v>
      </c>
      <c r="C125" s="32">
        <v>65891</v>
      </c>
      <c r="D125" s="28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D19"/>
  <sheetViews>
    <sheetView workbookViewId="0">
      <selection activeCell="G7" sqref="G7"/>
    </sheetView>
  </sheetViews>
  <sheetFormatPr defaultRowHeight="15" x14ac:dyDescent="0.25"/>
  <cols>
    <col min="1" max="1" width="29.85546875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19" t="s">
        <v>102</v>
      </c>
      <c r="B1" t="s">
        <v>147</v>
      </c>
    </row>
    <row r="3" spans="1:4" x14ac:dyDescent="0.25">
      <c r="B3" s="119" t="s">
        <v>21</v>
      </c>
    </row>
    <row r="4" spans="1:4" x14ac:dyDescent="0.25">
      <c r="A4" s="119" t="s">
        <v>101</v>
      </c>
      <c r="B4" t="s">
        <v>148</v>
      </c>
      <c r="C4" t="s">
        <v>149</v>
      </c>
      <c r="D4" t="s">
        <v>150</v>
      </c>
    </row>
    <row r="5" spans="1:4" x14ac:dyDescent="0.25">
      <c r="A5" t="s">
        <v>47</v>
      </c>
      <c r="B5" s="120">
        <v>2456</v>
      </c>
      <c r="C5" s="120">
        <v>5</v>
      </c>
      <c r="D5" s="120">
        <v>667</v>
      </c>
    </row>
    <row r="6" spans="1:4" x14ac:dyDescent="0.25">
      <c r="A6" t="s">
        <v>60</v>
      </c>
      <c r="B6" s="120">
        <v>333</v>
      </c>
      <c r="C6" s="120">
        <v>223</v>
      </c>
      <c r="D6" s="120">
        <v>432</v>
      </c>
    </row>
    <row r="7" spans="1:4" x14ac:dyDescent="0.25">
      <c r="A7" t="s">
        <v>48</v>
      </c>
      <c r="B7" s="120">
        <v>322</v>
      </c>
      <c r="C7" s="120">
        <v>6</v>
      </c>
      <c r="D7" s="120">
        <v>4346</v>
      </c>
    </row>
    <row r="8" spans="1:4" x14ac:dyDescent="0.25">
      <c r="A8" t="s">
        <v>42</v>
      </c>
      <c r="B8" s="120">
        <v>3456</v>
      </c>
      <c r="C8" s="120">
        <v>121</v>
      </c>
      <c r="D8" s="120">
        <v>32</v>
      </c>
    </row>
    <row r="9" spans="1:4" x14ac:dyDescent="0.25">
      <c r="A9" t="s">
        <v>50</v>
      </c>
      <c r="B9" s="120">
        <v>456</v>
      </c>
      <c r="C9" s="120">
        <v>5534</v>
      </c>
      <c r="D9" s="120">
        <v>23432</v>
      </c>
    </row>
    <row r="10" spans="1:4" x14ac:dyDescent="0.25">
      <c r="A10" t="s">
        <v>61</v>
      </c>
      <c r="B10" s="120">
        <v>3235</v>
      </c>
      <c r="C10" s="120">
        <v>2</v>
      </c>
      <c r="D10" s="120">
        <v>32</v>
      </c>
    </row>
    <row r="11" spans="1:4" x14ac:dyDescent="0.25">
      <c r="A11" t="s">
        <v>44</v>
      </c>
      <c r="B11" s="120">
        <v>4332</v>
      </c>
      <c r="C11" s="120">
        <v>5</v>
      </c>
      <c r="D11" s="120">
        <v>453</v>
      </c>
    </row>
    <row r="12" spans="1:4" x14ac:dyDescent="0.25">
      <c r="A12" t="s">
        <v>43</v>
      </c>
      <c r="B12" s="120">
        <v>4656</v>
      </c>
      <c r="C12" s="120">
        <v>4</v>
      </c>
      <c r="D12" s="120">
        <v>1234</v>
      </c>
    </row>
    <row r="13" spans="1:4" x14ac:dyDescent="0.25">
      <c r="A13" t="s">
        <v>46</v>
      </c>
      <c r="B13" s="120">
        <v>234</v>
      </c>
      <c r="C13" s="120">
        <v>5</v>
      </c>
      <c r="D13" s="120">
        <v>543</v>
      </c>
    </row>
    <row r="14" spans="1:4" x14ac:dyDescent="0.25">
      <c r="A14" t="s">
        <v>45</v>
      </c>
      <c r="B14" s="120">
        <v>21</v>
      </c>
      <c r="C14" s="120">
        <v>54</v>
      </c>
      <c r="D14" s="120">
        <v>543</v>
      </c>
    </row>
    <row r="15" spans="1:4" x14ac:dyDescent="0.25">
      <c r="A15" t="s">
        <v>51</v>
      </c>
      <c r="B15" s="120">
        <v>1234</v>
      </c>
      <c r="C15" s="120">
        <v>5</v>
      </c>
      <c r="D15" s="120">
        <v>32</v>
      </c>
    </row>
    <row r="16" spans="1:4" x14ac:dyDescent="0.25">
      <c r="A16" t="s">
        <v>63</v>
      </c>
      <c r="B16" s="120">
        <v>455</v>
      </c>
      <c r="C16" s="120">
        <v>4</v>
      </c>
      <c r="D16" s="120">
        <v>24</v>
      </c>
    </row>
    <row r="17" spans="1:4" x14ac:dyDescent="0.25">
      <c r="A17" t="s">
        <v>52</v>
      </c>
      <c r="B17" s="120">
        <v>9876</v>
      </c>
      <c r="C17" s="120">
        <v>656</v>
      </c>
      <c r="D17" s="120">
        <v>32</v>
      </c>
    </row>
    <row r="18" spans="1:4" x14ac:dyDescent="0.25">
      <c r="A18" t="s">
        <v>64</v>
      </c>
      <c r="B18" s="120">
        <v>122</v>
      </c>
      <c r="C18" s="120">
        <v>78</v>
      </c>
      <c r="D18" s="120">
        <v>3322</v>
      </c>
    </row>
    <row r="19" spans="1:4" x14ac:dyDescent="0.25">
      <c r="A19" t="s">
        <v>146</v>
      </c>
      <c r="B19" s="120">
        <v>31188</v>
      </c>
      <c r="C19" s="120">
        <v>6702</v>
      </c>
      <c r="D19" s="120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topLeftCell="A4" workbookViewId="0">
      <selection activeCell="B9" sqref="B9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80" t="s">
        <v>101</v>
      </c>
      <c r="C9" s="81" t="s">
        <v>102</v>
      </c>
      <c r="D9" s="82" t="s">
        <v>103</v>
      </c>
      <c r="E9" s="82" t="s">
        <v>104</v>
      </c>
      <c r="F9" s="82" t="s">
        <v>105</v>
      </c>
    </row>
    <row r="10" spans="2:9" x14ac:dyDescent="0.25">
      <c r="B10" s="43" t="s">
        <v>50</v>
      </c>
      <c r="C10" s="70" t="s">
        <v>56</v>
      </c>
      <c r="D10" s="71">
        <v>456</v>
      </c>
      <c r="E10" s="72">
        <v>5534</v>
      </c>
      <c r="F10" s="72">
        <v>23432</v>
      </c>
    </row>
    <row r="11" spans="2:9" x14ac:dyDescent="0.25">
      <c r="B11" s="43" t="s">
        <v>60</v>
      </c>
      <c r="C11" s="70" t="s">
        <v>56</v>
      </c>
      <c r="D11" s="71">
        <v>333</v>
      </c>
      <c r="E11" s="72">
        <v>223</v>
      </c>
      <c r="F11" s="72">
        <v>432</v>
      </c>
    </row>
    <row r="12" spans="2:9" x14ac:dyDescent="0.25">
      <c r="B12" s="43" t="s">
        <v>61</v>
      </c>
      <c r="C12" s="70" t="s">
        <v>56</v>
      </c>
      <c r="D12" s="71">
        <v>3235</v>
      </c>
      <c r="E12" s="72">
        <v>2</v>
      </c>
      <c r="F12" s="72">
        <v>32</v>
      </c>
    </row>
    <row r="13" spans="2:9" x14ac:dyDescent="0.25">
      <c r="B13" s="43" t="s">
        <v>42</v>
      </c>
      <c r="C13" s="70" t="s">
        <v>56</v>
      </c>
      <c r="D13" s="71">
        <v>3456</v>
      </c>
      <c r="E13" s="72">
        <v>121</v>
      </c>
      <c r="F13" s="72">
        <v>32</v>
      </c>
    </row>
    <row r="14" spans="2:9" x14ac:dyDescent="0.25">
      <c r="B14" s="14" t="s">
        <v>51</v>
      </c>
      <c r="C14" s="70" t="s">
        <v>57</v>
      </c>
      <c r="D14" s="71">
        <v>1234</v>
      </c>
      <c r="E14" s="72">
        <v>5</v>
      </c>
      <c r="F14" s="72">
        <v>32</v>
      </c>
    </row>
    <row r="15" spans="2:9" x14ac:dyDescent="0.25">
      <c r="B15" s="43" t="s">
        <v>52</v>
      </c>
      <c r="C15" s="70" t="s">
        <v>57</v>
      </c>
      <c r="D15" s="71">
        <v>9876</v>
      </c>
      <c r="E15" s="72">
        <v>656</v>
      </c>
      <c r="F15" s="72">
        <v>32</v>
      </c>
    </row>
    <row r="16" spans="2:9" x14ac:dyDescent="0.25">
      <c r="B16" s="43" t="s">
        <v>43</v>
      </c>
      <c r="C16" s="70" t="s">
        <v>56</v>
      </c>
      <c r="D16" s="71">
        <v>4656</v>
      </c>
      <c r="E16" s="72">
        <v>4</v>
      </c>
      <c r="F16" s="72">
        <v>1234</v>
      </c>
      <c r="G16" s="68"/>
      <c r="H16" s="68"/>
      <c r="I16" s="68"/>
    </row>
    <row r="17" spans="2:9" x14ac:dyDescent="0.25">
      <c r="B17" s="43" t="s">
        <v>44</v>
      </c>
      <c r="C17" s="70" t="s">
        <v>56</v>
      </c>
      <c r="D17" s="71">
        <v>4332</v>
      </c>
      <c r="E17" s="72">
        <v>5</v>
      </c>
      <c r="F17" s="72">
        <v>453</v>
      </c>
      <c r="G17" s="68"/>
      <c r="H17" s="68"/>
      <c r="I17" s="68"/>
    </row>
    <row r="18" spans="2:9" x14ac:dyDescent="0.25">
      <c r="B18" s="43" t="s">
        <v>63</v>
      </c>
      <c r="C18" s="70" t="s">
        <v>56</v>
      </c>
      <c r="D18" s="71">
        <v>455</v>
      </c>
      <c r="E18" s="72">
        <v>4</v>
      </c>
      <c r="F18" s="72">
        <v>24</v>
      </c>
      <c r="G18" s="68"/>
      <c r="H18" s="68"/>
      <c r="I18" s="68"/>
    </row>
    <row r="19" spans="2:9" x14ac:dyDescent="0.25">
      <c r="B19" s="43" t="s">
        <v>45</v>
      </c>
      <c r="C19" s="70" t="s">
        <v>56</v>
      </c>
      <c r="D19" s="71">
        <v>21</v>
      </c>
      <c r="E19" s="72">
        <v>54</v>
      </c>
      <c r="F19" s="72">
        <v>543</v>
      </c>
      <c r="G19" s="68"/>
      <c r="H19" s="68"/>
      <c r="I19" s="68"/>
    </row>
    <row r="20" spans="2:9" x14ac:dyDescent="0.25">
      <c r="B20" s="43" t="s">
        <v>46</v>
      </c>
      <c r="C20" s="70" t="s">
        <v>56</v>
      </c>
      <c r="D20" s="71">
        <v>234</v>
      </c>
      <c r="E20" s="72">
        <v>5</v>
      </c>
      <c r="F20" s="72">
        <v>543</v>
      </c>
      <c r="G20" s="68"/>
      <c r="H20" s="68"/>
      <c r="I20" s="68"/>
    </row>
    <row r="21" spans="2:9" x14ac:dyDescent="0.25">
      <c r="B21" s="43" t="s">
        <v>47</v>
      </c>
      <c r="C21" s="70" t="s">
        <v>56</v>
      </c>
      <c r="D21" s="71">
        <v>2456</v>
      </c>
      <c r="E21" s="72">
        <v>5</v>
      </c>
      <c r="F21" s="72">
        <v>667</v>
      </c>
      <c r="G21" s="68"/>
      <c r="H21" s="68"/>
      <c r="I21" s="68"/>
    </row>
    <row r="22" spans="2:9" x14ac:dyDescent="0.25">
      <c r="B22" s="43" t="s">
        <v>48</v>
      </c>
      <c r="C22" s="70" t="s">
        <v>58</v>
      </c>
      <c r="D22" s="71">
        <v>322</v>
      </c>
      <c r="E22" s="72">
        <v>6</v>
      </c>
      <c r="F22" s="72">
        <v>4346</v>
      </c>
      <c r="G22" s="68"/>
      <c r="H22" s="68"/>
      <c r="I22" s="68"/>
    </row>
    <row r="23" spans="2:9" x14ac:dyDescent="0.25">
      <c r="B23" s="14" t="s">
        <v>64</v>
      </c>
      <c r="C23" s="70" t="s">
        <v>57</v>
      </c>
      <c r="D23" s="71">
        <v>122</v>
      </c>
      <c r="E23" s="72">
        <v>78</v>
      </c>
      <c r="F23" s="72">
        <v>3322</v>
      </c>
      <c r="G23" s="68"/>
      <c r="H23" s="68"/>
      <c r="I23" s="68"/>
    </row>
    <row r="24" spans="2:9" x14ac:dyDescent="0.25">
      <c r="B24" s="68"/>
      <c r="C24" s="66"/>
      <c r="D24" s="67"/>
      <c r="E24" s="68"/>
      <c r="F24" s="68"/>
      <c r="G24" s="68"/>
      <c r="H24" s="68"/>
      <c r="I24" s="68"/>
    </row>
    <row r="25" spans="2:9" x14ac:dyDescent="0.25">
      <c r="B25" s="65"/>
      <c r="C25" s="66"/>
      <c r="D25" s="67"/>
      <c r="E25" s="68"/>
      <c r="F25" s="68"/>
      <c r="G25" s="68"/>
      <c r="H25" s="68"/>
      <c r="I25" s="68"/>
    </row>
    <row r="26" spans="2:9" x14ac:dyDescent="0.25">
      <c r="B26" s="65"/>
      <c r="C26" s="66"/>
      <c r="D26" s="67"/>
      <c r="E26" s="68"/>
      <c r="F26" s="68"/>
      <c r="G26" s="68"/>
      <c r="H26" s="68"/>
      <c r="I26" s="68"/>
    </row>
    <row r="27" spans="2:9" x14ac:dyDescent="0.25">
      <c r="B27" s="65"/>
      <c r="C27" s="66"/>
      <c r="D27" s="67"/>
      <c r="E27" s="68"/>
      <c r="F27" s="68"/>
      <c r="G27" s="68"/>
      <c r="H27" s="68"/>
      <c r="I27" s="68"/>
    </row>
    <row r="28" spans="2:9" x14ac:dyDescent="0.25">
      <c r="B28" s="65"/>
      <c r="C28" s="66"/>
      <c r="D28" s="67"/>
      <c r="E28" s="68"/>
      <c r="F28" s="68"/>
      <c r="G28" s="68"/>
      <c r="H28" s="68"/>
      <c r="I28" s="68"/>
    </row>
    <row r="29" spans="2:9" x14ac:dyDescent="0.25">
      <c r="B29" s="68"/>
      <c r="C29" s="69"/>
      <c r="D29" s="67"/>
      <c r="E29" s="68"/>
      <c r="F29" s="68"/>
      <c r="G29" s="68"/>
      <c r="H29" s="68"/>
      <c r="I29" s="68"/>
    </row>
    <row r="30" spans="2:9" x14ac:dyDescent="0.25">
      <c r="B30" s="68"/>
      <c r="C30" s="69"/>
      <c r="D30" s="67"/>
      <c r="E30" s="68"/>
      <c r="F30" s="68"/>
      <c r="G30" s="68"/>
      <c r="H30" s="68"/>
      <c r="I30" s="68"/>
    </row>
    <row r="31" spans="2:9" x14ac:dyDescent="0.25">
      <c r="B31" s="68"/>
      <c r="C31" s="69"/>
      <c r="D31" s="67"/>
      <c r="E31" s="68"/>
      <c r="F31" s="68"/>
      <c r="G31" s="68"/>
      <c r="H31" s="68"/>
      <c r="I31" s="68"/>
    </row>
    <row r="32" spans="2:9" x14ac:dyDescent="0.25">
      <c r="B32" s="68"/>
      <c r="C32" s="69"/>
      <c r="D32" s="67"/>
      <c r="E32" s="68"/>
      <c r="F32" s="68"/>
      <c r="G32" s="68"/>
      <c r="H32" s="68"/>
      <c r="I32" s="68"/>
    </row>
    <row r="33" spans="2:9" x14ac:dyDescent="0.25">
      <c r="B33" s="68"/>
      <c r="C33" s="69"/>
      <c r="D33" s="67"/>
      <c r="E33" s="68"/>
      <c r="F33" s="68"/>
      <c r="G33" s="68"/>
      <c r="H33" s="68"/>
      <c r="I33" s="68"/>
    </row>
    <row r="34" spans="2:9" x14ac:dyDescent="0.25">
      <c r="B34" s="68"/>
      <c r="C34" s="69"/>
      <c r="D34" s="67"/>
      <c r="E34" s="68"/>
      <c r="F34" s="68"/>
      <c r="G34" s="68"/>
      <c r="H34" s="68"/>
      <c r="I34" s="68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L16" sqref="L16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9" t="s">
        <v>87</v>
      </c>
      <c r="H3" s="49"/>
      <c r="I3" s="49"/>
      <c r="J3" s="49"/>
    </row>
    <row r="4" spans="2:12" x14ac:dyDescent="0.25">
      <c r="C4" s="74"/>
      <c r="G4" s="59" t="s">
        <v>88</v>
      </c>
      <c r="H4" s="49"/>
      <c r="I4" s="49"/>
      <c r="J4" s="49"/>
    </row>
    <row r="5" spans="2:12" x14ac:dyDescent="0.25">
      <c r="G5" s="59" t="s">
        <v>89</v>
      </c>
      <c r="H5" s="49"/>
      <c r="I5" s="49"/>
      <c r="J5" s="49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204" t="s">
        <v>71</v>
      </c>
      <c r="C9" s="205"/>
      <c r="D9" s="48"/>
      <c r="E9" s="204" t="s">
        <v>90</v>
      </c>
      <c r="F9" s="205"/>
      <c r="G9" s="49"/>
      <c r="H9" s="75" t="s">
        <v>72</v>
      </c>
    </row>
    <row r="10" spans="2:12" x14ac:dyDescent="0.25">
      <c r="B10" s="103" t="s">
        <v>73</v>
      </c>
      <c r="C10" s="104" t="s">
        <v>74</v>
      </c>
      <c r="D10" s="50"/>
      <c r="E10" s="103" t="s">
        <v>73</v>
      </c>
      <c r="F10" s="104" t="s">
        <v>74</v>
      </c>
      <c r="G10" s="49"/>
      <c r="H10" s="105" t="s">
        <v>21</v>
      </c>
    </row>
    <row r="11" spans="2:12" x14ac:dyDescent="0.25">
      <c r="B11" s="51" t="s">
        <v>75</v>
      </c>
      <c r="C11" s="52">
        <v>45678</v>
      </c>
      <c r="D11" s="49"/>
      <c r="E11" s="51" t="s">
        <v>75</v>
      </c>
      <c r="F11" s="52">
        <v>49876</v>
      </c>
      <c r="G11" s="53"/>
      <c r="H11" s="54">
        <v>65000</v>
      </c>
    </row>
    <row r="12" spans="2:12" x14ac:dyDescent="0.25">
      <c r="B12" s="51" t="s">
        <v>76</v>
      </c>
      <c r="C12" s="55">
        <v>66534</v>
      </c>
      <c r="D12" s="49"/>
      <c r="E12" s="51" t="s">
        <v>76</v>
      </c>
      <c r="F12" s="55">
        <v>59043</v>
      </c>
      <c r="G12" s="53"/>
      <c r="H12" s="54">
        <v>45000</v>
      </c>
      <c r="L12" s="76"/>
    </row>
    <row r="13" spans="2:12" x14ac:dyDescent="0.25">
      <c r="B13" s="51" t="s">
        <v>77</v>
      </c>
      <c r="C13" s="55">
        <v>49876</v>
      </c>
      <c r="D13" s="49"/>
      <c r="E13" s="51" t="s">
        <v>77</v>
      </c>
      <c r="F13" s="55">
        <v>53456</v>
      </c>
      <c r="G13" s="53"/>
      <c r="H13" s="54">
        <v>40000</v>
      </c>
    </row>
    <row r="14" spans="2:12" x14ac:dyDescent="0.25">
      <c r="B14" s="51" t="s">
        <v>78</v>
      </c>
      <c r="C14" s="55">
        <v>25678</v>
      </c>
      <c r="D14" s="49"/>
      <c r="E14" s="51" t="s">
        <v>78</v>
      </c>
      <c r="F14" s="55">
        <v>34599</v>
      </c>
      <c r="G14" s="53"/>
      <c r="H14" s="54">
        <v>40000</v>
      </c>
    </row>
    <row r="15" spans="2:12" x14ac:dyDescent="0.25">
      <c r="B15" s="51" t="s">
        <v>79</v>
      </c>
      <c r="C15" s="55">
        <v>12253</v>
      </c>
      <c r="D15" s="49"/>
      <c r="E15" s="51" t="s">
        <v>79</v>
      </c>
      <c r="F15" s="55">
        <v>17234</v>
      </c>
      <c r="G15" s="49"/>
      <c r="H15" s="54">
        <v>30000</v>
      </c>
    </row>
    <row r="16" spans="2:12" x14ac:dyDescent="0.25">
      <c r="B16" s="51" t="s">
        <v>80</v>
      </c>
      <c r="C16" s="55">
        <v>19854</v>
      </c>
      <c r="D16" s="49"/>
      <c r="E16" s="51" t="s">
        <v>80</v>
      </c>
      <c r="F16" s="55">
        <v>28903</v>
      </c>
      <c r="G16" s="49"/>
      <c r="H16" s="54">
        <v>25000</v>
      </c>
    </row>
    <row r="17" spans="2:8" x14ac:dyDescent="0.25">
      <c r="B17" s="51" t="s">
        <v>81</v>
      </c>
      <c r="C17" s="55">
        <v>76543</v>
      </c>
      <c r="D17" s="49"/>
      <c r="E17" s="51" t="s">
        <v>81</v>
      </c>
      <c r="F17" s="55">
        <v>66321</v>
      </c>
      <c r="G17" s="49"/>
      <c r="H17" s="54">
        <v>60000</v>
      </c>
    </row>
    <row r="18" spans="2:8" x14ac:dyDescent="0.25">
      <c r="B18" s="51" t="s">
        <v>82</v>
      </c>
      <c r="C18" s="55">
        <v>45329</v>
      </c>
      <c r="D18" s="49"/>
      <c r="E18" s="51" t="s">
        <v>82</v>
      </c>
      <c r="F18" s="55">
        <v>43234</v>
      </c>
      <c r="G18" s="49"/>
      <c r="H18" s="54">
        <v>35000</v>
      </c>
    </row>
    <row r="19" spans="2:8" x14ac:dyDescent="0.25">
      <c r="B19" s="51" t="s">
        <v>83</v>
      </c>
      <c r="C19" s="55">
        <v>99876</v>
      </c>
      <c r="D19" s="49"/>
      <c r="E19" s="51" t="s">
        <v>83</v>
      </c>
      <c r="F19" s="55">
        <v>87654</v>
      </c>
      <c r="G19" s="49"/>
      <c r="H19" s="54">
        <v>80000</v>
      </c>
    </row>
    <row r="20" spans="2:8" x14ac:dyDescent="0.25">
      <c r="B20" s="51" t="s">
        <v>84</v>
      </c>
      <c r="C20" s="55">
        <v>66543</v>
      </c>
      <c r="D20" s="49"/>
      <c r="E20" s="51" t="s">
        <v>84</v>
      </c>
      <c r="F20" s="55">
        <v>74987</v>
      </c>
      <c r="G20" s="49"/>
      <c r="H20" s="54">
        <v>80000</v>
      </c>
    </row>
    <row r="21" spans="2:8" x14ac:dyDescent="0.25">
      <c r="B21" s="51" t="s">
        <v>85</v>
      </c>
      <c r="C21" s="55">
        <v>124345</v>
      </c>
      <c r="D21" s="49"/>
      <c r="E21" s="51" t="s">
        <v>85</v>
      </c>
      <c r="F21" s="55">
        <v>144567</v>
      </c>
      <c r="G21" s="49"/>
      <c r="H21" s="54">
        <v>150000</v>
      </c>
    </row>
    <row r="22" spans="2:8" ht="15.75" thickBot="1" x14ac:dyDescent="0.3">
      <c r="B22" s="56" t="s">
        <v>86</v>
      </c>
      <c r="C22" s="57">
        <v>189773</v>
      </c>
      <c r="D22" s="49"/>
      <c r="E22" s="56" t="s">
        <v>86</v>
      </c>
      <c r="F22" s="57">
        <v>175876</v>
      </c>
      <c r="G22" s="49"/>
      <c r="H22" s="58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topLeftCell="J7" workbookViewId="0">
      <selection activeCell="M9" sqref="M9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3" width="16.42578125" customWidth="1"/>
    <col min="14" max="14" width="17.8554687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7" t="s">
        <v>41</v>
      </c>
      <c r="C8" s="78" t="s">
        <v>14</v>
      </c>
      <c r="D8" s="78" t="s">
        <v>17</v>
      </c>
      <c r="E8" s="79" t="s">
        <v>15</v>
      </c>
      <c r="G8" s="77" t="s">
        <v>124</v>
      </c>
      <c r="H8" s="78" t="s">
        <v>117</v>
      </c>
      <c r="I8" s="78" t="s">
        <v>118</v>
      </c>
      <c r="J8" s="79" t="s">
        <v>119</v>
      </c>
      <c r="K8" s="79" t="s">
        <v>120</v>
      </c>
      <c r="L8" s="79" t="s">
        <v>121</v>
      </c>
      <c r="M8" s="108" t="s">
        <v>123</v>
      </c>
      <c r="N8" s="108" t="s">
        <v>151</v>
      </c>
      <c r="O8" s="79" t="s">
        <v>122</v>
      </c>
      <c r="P8" s="108" t="s">
        <v>125</v>
      </c>
      <c r="Q8" s="108" t="s">
        <v>126</v>
      </c>
    </row>
    <row r="9" spans="2:17" ht="15.95" customHeight="1" x14ac:dyDescent="0.25">
      <c r="B9" s="42">
        <v>2000</v>
      </c>
      <c r="C9" s="43" t="s">
        <v>50</v>
      </c>
      <c r="D9" s="45">
        <v>65</v>
      </c>
      <c r="E9" s="15" t="s">
        <v>56</v>
      </c>
      <c r="G9" s="42">
        <v>198760</v>
      </c>
      <c r="H9" s="43" t="s">
        <v>152</v>
      </c>
      <c r="I9" s="45" t="s">
        <v>153</v>
      </c>
      <c r="J9" s="15" t="s">
        <v>154</v>
      </c>
      <c r="K9" s="15" t="s">
        <v>155</v>
      </c>
      <c r="L9" s="15" t="s">
        <v>156</v>
      </c>
      <c r="M9" s="109" t="s">
        <v>157</v>
      </c>
      <c r="N9" s="109" t="s">
        <v>158</v>
      </c>
      <c r="O9" s="112">
        <v>87</v>
      </c>
      <c r="P9" s="110">
        <v>43965</v>
      </c>
      <c r="Q9" s="111">
        <v>0.3812962962962963</v>
      </c>
    </row>
    <row r="10" spans="2:17" ht="15.95" customHeight="1" x14ac:dyDescent="0.25">
      <c r="B10" s="42">
        <v>2001</v>
      </c>
      <c r="C10" s="43" t="s">
        <v>60</v>
      </c>
      <c r="D10" s="45">
        <v>399</v>
      </c>
      <c r="E10" s="15" t="s">
        <v>56</v>
      </c>
      <c r="G10" s="42">
        <v>198761</v>
      </c>
      <c r="H10" s="43" t="s">
        <v>188</v>
      </c>
      <c r="I10" s="45" t="s">
        <v>189</v>
      </c>
      <c r="J10" s="15" t="s">
        <v>190</v>
      </c>
      <c r="K10" s="15" t="s">
        <v>191</v>
      </c>
      <c r="L10" s="15" t="s">
        <v>192</v>
      </c>
      <c r="M10" s="15" t="s">
        <v>193</v>
      </c>
      <c r="N10" s="15" t="s">
        <v>194</v>
      </c>
      <c r="O10" s="112">
        <v>380</v>
      </c>
      <c r="P10" s="110">
        <v>43979</v>
      </c>
      <c r="Q10" s="111">
        <v>0.55744212962962958</v>
      </c>
    </row>
    <row r="11" spans="2:17" ht="15.95" customHeight="1" x14ac:dyDescent="0.25">
      <c r="B11" s="42">
        <v>2002</v>
      </c>
      <c r="C11" s="43" t="s">
        <v>61</v>
      </c>
      <c r="D11" s="45">
        <v>1890</v>
      </c>
      <c r="E11" s="15" t="s">
        <v>56</v>
      </c>
      <c r="G11" s="42">
        <v>198762</v>
      </c>
      <c r="H11" s="43" t="s">
        <v>195</v>
      </c>
      <c r="I11" s="45" t="s">
        <v>196</v>
      </c>
      <c r="J11" s="15" t="s">
        <v>197</v>
      </c>
      <c r="K11" s="15" t="s">
        <v>155</v>
      </c>
      <c r="L11" s="15" t="s">
        <v>156</v>
      </c>
      <c r="M11" s="15" t="s">
        <v>193</v>
      </c>
      <c r="N11" s="15" t="s">
        <v>158</v>
      </c>
      <c r="O11" s="112">
        <v>58</v>
      </c>
      <c r="P11" s="110">
        <v>43979</v>
      </c>
      <c r="Q11" s="111">
        <v>0.55822916666666667</v>
      </c>
    </row>
    <row r="12" spans="2:17" ht="15.95" customHeight="1" x14ac:dyDescent="0.25">
      <c r="B12" s="42">
        <v>2003</v>
      </c>
      <c r="C12" s="43" t="s">
        <v>42</v>
      </c>
      <c r="D12" s="45">
        <v>550</v>
      </c>
      <c r="E12" s="15" t="s">
        <v>56</v>
      </c>
      <c r="G12" s="42">
        <v>198763</v>
      </c>
      <c r="H12" s="43" t="s">
        <v>198</v>
      </c>
      <c r="I12" s="45" t="s">
        <v>199</v>
      </c>
      <c r="J12" s="15" t="s">
        <v>200</v>
      </c>
      <c r="K12" s="15" t="s">
        <v>201</v>
      </c>
      <c r="L12" s="15" t="s">
        <v>202</v>
      </c>
      <c r="M12" s="15" t="s">
        <v>193</v>
      </c>
      <c r="N12" s="15" t="s">
        <v>203</v>
      </c>
      <c r="O12" s="106">
        <v>20</v>
      </c>
      <c r="P12" s="110">
        <v>43979</v>
      </c>
      <c r="Q12" s="111">
        <v>0.55833333333333335</v>
      </c>
    </row>
    <row r="13" spans="2:17" ht="15.95" customHeight="1" x14ac:dyDescent="0.25">
      <c r="B13" s="42">
        <v>2004</v>
      </c>
      <c r="C13" s="14" t="s">
        <v>51</v>
      </c>
      <c r="D13" s="45">
        <v>1499</v>
      </c>
      <c r="E13" s="15" t="s">
        <v>57</v>
      </c>
      <c r="G13" s="42">
        <v>198764</v>
      </c>
      <c r="H13" s="14" t="s">
        <v>207</v>
      </c>
      <c r="I13" s="45" t="s">
        <v>208</v>
      </c>
      <c r="J13" s="15" t="s">
        <v>195</v>
      </c>
      <c r="K13" s="15" t="s">
        <v>209</v>
      </c>
      <c r="L13" s="15" t="s">
        <v>156</v>
      </c>
      <c r="M13" s="15" t="s">
        <v>193</v>
      </c>
      <c r="N13" s="15" t="s">
        <v>210</v>
      </c>
      <c r="O13" s="106">
        <v>1100</v>
      </c>
      <c r="P13" s="110">
        <v>43983</v>
      </c>
      <c r="Q13" s="111">
        <v>0.59793981481481484</v>
      </c>
    </row>
    <row r="14" spans="2:17" ht="15.95" customHeight="1" x14ac:dyDescent="0.25">
      <c r="B14" s="42">
        <v>2005</v>
      </c>
      <c r="C14" s="43" t="s">
        <v>52</v>
      </c>
      <c r="D14" s="45">
        <v>125</v>
      </c>
      <c r="E14" s="15" t="s">
        <v>57</v>
      </c>
      <c r="G14" s="42"/>
      <c r="H14" s="43"/>
      <c r="I14" s="45"/>
      <c r="J14" s="15"/>
      <c r="K14" s="15"/>
      <c r="L14" s="15"/>
      <c r="M14" s="15"/>
      <c r="N14" s="15"/>
      <c r="O14" s="106"/>
      <c r="P14" s="15"/>
      <c r="Q14" s="15"/>
    </row>
    <row r="15" spans="2:17" ht="15.95" customHeight="1" x14ac:dyDescent="0.25">
      <c r="B15" s="42">
        <v>2006</v>
      </c>
      <c r="C15" s="43" t="s">
        <v>43</v>
      </c>
      <c r="D15" s="45">
        <v>29</v>
      </c>
      <c r="E15" s="15" t="s">
        <v>56</v>
      </c>
      <c r="G15" s="42"/>
      <c r="H15" s="43"/>
      <c r="I15" s="45"/>
      <c r="J15" s="15"/>
      <c r="K15" s="15"/>
      <c r="L15" s="15"/>
      <c r="M15" s="15"/>
      <c r="N15" s="15"/>
      <c r="O15" s="106"/>
      <c r="P15" s="15"/>
      <c r="Q15" s="15"/>
    </row>
    <row r="16" spans="2:17" ht="15.95" customHeight="1" x14ac:dyDescent="0.25">
      <c r="B16" s="42">
        <v>2007</v>
      </c>
      <c r="C16" s="43" t="s">
        <v>44</v>
      </c>
      <c r="D16" s="45">
        <v>3120</v>
      </c>
      <c r="E16" s="15" t="s">
        <v>56</v>
      </c>
      <c r="G16" s="42"/>
      <c r="H16" s="43"/>
      <c r="I16" s="45"/>
      <c r="J16" s="15"/>
      <c r="K16" s="15"/>
      <c r="L16" s="15"/>
      <c r="M16" s="15"/>
      <c r="N16" s="15"/>
      <c r="O16" s="106"/>
      <c r="P16" s="15"/>
      <c r="Q16" s="15"/>
    </row>
    <row r="17" spans="2:17" ht="15.95" customHeight="1" x14ac:dyDescent="0.25">
      <c r="B17" s="42">
        <v>2008</v>
      </c>
      <c r="C17" s="43" t="s">
        <v>63</v>
      </c>
      <c r="D17" s="45">
        <v>145</v>
      </c>
      <c r="E17" s="15" t="s">
        <v>56</v>
      </c>
      <c r="G17" s="42"/>
      <c r="H17" s="43"/>
      <c r="I17" s="45"/>
      <c r="J17" s="15"/>
      <c r="K17" s="15"/>
      <c r="L17" s="15"/>
      <c r="M17" s="15"/>
      <c r="N17" s="15"/>
      <c r="O17" s="106"/>
      <c r="P17" s="15"/>
      <c r="Q17" s="15"/>
    </row>
    <row r="18" spans="2:17" ht="15.95" customHeight="1" x14ac:dyDescent="0.25">
      <c r="B18" s="42">
        <v>2009</v>
      </c>
      <c r="C18" s="43" t="s">
        <v>45</v>
      </c>
      <c r="D18" s="45">
        <v>120</v>
      </c>
      <c r="E18" s="15" t="s">
        <v>56</v>
      </c>
      <c r="G18" s="42"/>
      <c r="H18" s="43"/>
      <c r="I18" s="45"/>
      <c r="J18" s="15"/>
      <c r="K18" s="15"/>
      <c r="L18" s="15"/>
      <c r="M18" s="15"/>
      <c r="N18" s="15"/>
      <c r="O18" s="106"/>
      <c r="P18" s="15"/>
      <c r="Q18" s="15"/>
    </row>
    <row r="19" spans="2:17" ht="15.95" customHeight="1" x14ac:dyDescent="0.25">
      <c r="B19" s="42">
        <v>2010</v>
      </c>
      <c r="C19" s="43" t="s">
        <v>46</v>
      </c>
      <c r="D19" s="45">
        <v>98</v>
      </c>
      <c r="E19" s="15" t="s">
        <v>56</v>
      </c>
      <c r="G19" s="42"/>
      <c r="H19" s="43"/>
      <c r="I19" s="45"/>
      <c r="J19" s="15"/>
      <c r="K19" s="15"/>
      <c r="L19" s="15"/>
      <c r="M19" s="15"/>
      <c r="N19" s="15"/>
      <c r="O19" s="106"/>
      <c r="P19" s="15"/>
      <c r="Q19" s="15"/>
    </row>
    <row r="20" spans="2:17" ht="15.95" customHeight="1" x14ac:dyDescent="0.25">
      <c r="B20" s="42">
        <v>2011</v>
      </c>
      <c r="C20" s="43" t="s">
        <v>47</v>
      </c>
      <c r="D20" s="45">
        <v>35</v>
      </c>
      <c r="E20" s="15" t="s">
        <v>56</v>
      </c>
      <c r="G20" s="42"/>
      <c r="H20" s="43"/>
      <c r="I20" s="45"/>
      <c r="J20" s="15"/>
      <c r="K20" s="15"/>
      <c r="L20" s="15"/>
      <c r="M20" s="15"/>
      <c r="N20" s="15"/>
      <c r="O20" s="106"/>
      <c r="P20" s="15"/>
      <c r="Q20" s="15"/>
    </row>
    <row r="21" spans="2:17" ht="15.95" customHeight="1" x14ac:dyDescent="0.25">
      <c r="B21" s="42">
        <v>2012</v>
      </c>
      <c r="C21" s="43" t="s">
        <v>48</v>
      </c>
      <c r="D21" s="45">
        <v>235</v>
      </c>
      <c r="E21" s="15" t="s">
        <v>58</v>
      </c>
      <c r="G21" s="42"/>
      <c r="H21" s="43"/>
      <c r="I21" s="45"/>
      <c r="J21" s="15"/>
      <c r="K21" s="15"/>
      <c r="L21" s="15"/>
      <c r="M21" s="15"/>
      <c r="N21" s="15"/>
      <c r="O21" s="106"/>
      <c r="P21" s="15"/>
      <c r="Q21" s="15"/>
    </row>
    <row r="22" spans="2:17" ht="15.95" customHeight="1" x14ac:dyDescent="0.25">
      <c r="B22" s="42">
        <v>2013</v>
      </c>
      <c r="C22" t="s">
        <v>64</v>
      </c>
      <c r="D22" s="45">
        <v>12</v>
      </c>
      <c r="E22" s="15" t="s">
        <v>57</v>
      </c>
      <c r="G22" s="42"/>
      <c r="I22" s="45"/>
      <c r="J22" s="15"/>
      <c r="K22" s="15"/>
      <c r="L22" s="15"/>
      <c r="M22" s="15"/>
      <c r="N22" s="15"/>
      <c r="O22" s="106"/>
      <c r="P22" s="15"/>
      <c r="Q22" s="15"/>
    </row>
    <row r="23" spans="2:17" ht="15.95" customHeight="1" x14ac:dyDescent="0.25">
      <c r="B23" s="42">
        <v>2014</v>
      </c>
      <c r="C23" s="43" t="s">
        <v>54</v>
      </c>
      <c r="D23" s="45">
        <v>3190</v>
      </c>
      <c r="E23" s="15" t="s">
        <v>58</v>
      </c>
      <c r="G23" s="42"/>
      <c r="H23" s="43"/>
      <c r="I23" s="45"/>
      <c r="J23" s="15"/>
      <c r="K23" s="15"/>
      <c r="L23" s="15"/>
      <c r="M23" s="15"/>
      <c r="N23" s="15"/>
      <c r="O23" s="106"/>
      <c r="P23" s="15"/>
      <c r="Q23" s="15"/>
    </row>
    <row r="24" spans="2:17" ht="15.95" customHeight="1" x14ac:dyDescent="0.25">
      <c r="B24" s="42">
        <v>2015</v>
      </c>
      <c r="C24" s="14" t="s">
        <v>59</v>
      </c>
      <c r="D24" s="45">
        <v>632</v>
      </c>
      <c r="E24" s="15" t="s">
        <v>58</v>
      </c>
      <c r="G24" s="42"/>
      <c r="H24" s="14"/>
      <c r="I24" s="45"/>
      <c r="J24" s="15"/>
      <c r="K24" s="15"/>
      <c r="L24" s="15"/>
      <c r="M24" s="15"/>
      <c r="N24" s="15"/>
      <c r="O24" s="106"/>
      <c r="P24" s="15"/>
      <c r="Q24" s="15"/>
    </row>
    <row r="25" spans="2:17" ht="15.95" customHeight="1" x14ac:dyDescent="0.25">
      <c r="B25" s="42">
        <v>2016</v>
      </c>
      <c r="C25" s="43" t="s">
        <v>55</v>
      </c>
      <c r="D25" s="45">
        <v>587</v>
      </c>
      <c r="E25" s="15" t="s">
        <v>58</v>
      </c>
      <c r="G25" s="42"/>
      <c r="H25" s="43"/>
      <c r="I25" s="45"/>
      <c r="J25" s="15"/>
      <c r="K25" s="15"/>
      <c r="L25" s="15"/>
      <c r="M25" s="15"/>
      <c r="N25" s="15"/>
      <c r="O25" s="106"/>
      <c r="P25" s="15"/>
      <c r="Q25" s="15"/>
    </row>
    <row r="26" spans="2:17" ht="15.95" customHeight="1" x14ac:dyDescent="0.25">
      <c r="B26" s="42">
        <v>2017</v>
      </c>
      <c r="C26" s="43" t="s">
        <v>53</v>
      </c>
      <c r="D26" s="45">
        <v>899</v>
      </c>
      <c r="E26" s="15" t="s">
        <v>57</v>
      </c>
      <c r="G26" s="42"/>
      <c r="H26" s="43"/>
      <c r="I26" s="45"/>
      <c r="J26" s="15"/>
      <c r="K26" s="15"/>
      <c r="L26" s="15"/>
      <c r="M26" s="15"/>
      <c r="N26" s="15"/>
      <c r="O26" s="106"/>
      <c r="P26" s="15"/>
      <c r="Q26" s="15"/>
    </row>
    <row r="27" spans="2:17" ht="15.95" customHeight="1" x14ac:dyDescent="0.25">
      <c r="B27" s="42">
        <v>2018</v>
      </c>
      <c r="C27" s="43" t="s">
        <v>62</v>
      </c>
      <c r="D27" s="45">
        <v>190</v>
      </c>
      <c r="E27" s="15" t="s">
        <v>58</v>
      </c>
      <c r="G27" s="42"/>
      <c r="H27" s="43"/>
      <c r="I27" s="45"/>
      <c r="J27" s="15"/>
      <c r="K27" s="15"/>
      <c r="L27" s="15"/>
      <c r="M27" s="15"/>
      <c r="N27" s="15"/>
      <c r="O27" s="106"/>
      <c r="P27" s="15"/>
      <c r="Q27" s="15"/>
    </row>
    <row r="28" spans="2:17" ht="15.95" customHeight="1" x14ac:dyDescent="0.25">
      <c r="B28" s="42">
        <v>2019</v>
      </c>
      <c r="C28" s="43" t="s">
        <v>49</v>
      </c>
      <c r="D28" s="45">
        <v>115</v>
      </c>
      <c r="E28" s="15" t="s">
        <v>56</v>
      </c>
      <c r="G28" s="42"/>
      <c r="H28" s="43"/>
      <c r="I28" s="45"/>
      <c r="J28" s="15"/>
      <c r="K28" s="15"/>
      <c r="L28" s="15"/>
      <c r="M28" s="15"/>
      <c r="N28" s="15"/>
      <c r="O28" s="106"/>
      <c r="P28" s="15"/>
      <c r="Q28" s="15"/>
    </row>
    <row r="29" spans="2:17" ht="15.95" customHeight="1" x14ac:dyDescent="0.25">
      <c r="B29" s="42">
        <v>2020</v>
      </c>
      <c r="C29" s="14" t="s">
        <v>65</v>
      </c>
      <c r="D29" s="46">
        <v>15</v>
      </c>
      <c r="E29" s="15" t="s">
        <v>57</v>
      </c>
      <c r="G29" s="42"/>
      <c r="H29" s="14"/>
      <c r="I29" s="46"/>
      <c r="J29" s="15"/>
      <c r="K29" s="15"/>
      <c r="L29" s="15"/>
      <c r="M29" s="15"/>
      <c r="N29" s="15"/>
      <c r="O29" s="106"/>
      <c r="P29" s="15"/>
      <c r="Q29" s="15"/>
    </row>
    <row r="30" spans="2:17" ht="15.95" customHeight="1" x14ac:dyDescent="0.25">
      <c r="B30" s="42">
        <v>2021</v>
      </c>
      <c r="C30" s="14" t="s">
        <v>66</v>
      </c>
      <c r="D30" s="46">
        <v>10</v>
      </c>
      <c r="E30" s="15" t="s">
        <v>57</v>
      </c>
      <c r="G30" s="42"/>
      <c r="H30" s="14"/>
      <c r="I30" s="46"/>
      <c r="J30" s="15"/>
      <c r="K30" s="15"/>
      <c r="L30" s="15"/>
      <c r="M30" s="15"/>
      <c r="N30" s="15"/>
      <c r="O30" s="106"/>
      <c r="P30" s="15"/>
      <c r="Q30" s="15"/>
    </row>
    <row r="31" spans="2:17" ht="15.95" customHeight="1" x14ac:dyDescent="0.25">
      <c r="B31" s="42">
        <v>2022</v>
      </c>
      <c r="C31" t="s">
        <v>68</v>
      </c>
      <c r="D31" s="46">
        <v>3890</v>
      </c>
      <c r="E31" s="15" t="s">
        <v>58</v>
      </c>
      <c r="G31" s="42"/>
      <c r="I31" s="46"/>
      <c r="J31" s="15"/>
      <c r="K31" s="15"/>
      <c r="L31" s="15"/>
      <c r="M31" s="15"/>
      <c r="N31" s="15"/>
      <c r="O31" s="106"/>
      <c r="P31" s="15"/>
      <c r="Q31" s="15"/>
    </row>
    <row r="32" spans="2:17" ht="15.95" customHeight="1" x14ac:dyDescent="0.25">
      <c r="B32" s="42">
        <v>2023</v>
      </c>
      <c r="C32" s="14" t="s">
        <v>69</v>
      </c>
      <c r="D32" s="46">
        <v>180</v>
      </c>
      <c r="E32" s="15" t="s">
        <v>56</v>
      </c>
      <c r="G32" s="42"/>
      <c r="H32" s="14"/>
      <c r="I32" s="46"/>
      <c r="J32" s="15"/>
      <c r="K32" s="15"/>
      <c r="L32" s="15"/>
      <c r="M32" s="15"/>
      <c r="N32" s="15"/>
      <c r="O32" s="106"/>
      <c r="P32" s="15"/>
      <c r="Q32" s="15"/>
    </row>
    <row r="33" spans="2:17" ht="15.95" customHeight="1" x14ac:dyDescent="0.25">
      <c r="B33" s="42">
        <v>2024</v>
      </c>
      <c r="C33" s="14" t="s">
        <v>67</v>
      </c>
      <c r="D33" s="46">
        <v>660</v>
      </c>
      <c r="E33" s="15" t="s">
        <v>57</v>
      </c>
      <c r="G33" s="42"/>
      <c r="H33" s="14"/>
      <c r="I33" s="46"/>
      <c r="J33" s="15"/>
      <c r="K33" s="15"/>
      <c r="L33" s="15"/>
      <c r="M33" s="15"/>
      <c r="N33" s="15"/>
      <c r="O33" s="106"/>
      <c r="P33" s="15"/>
      <c r="Q33" s="15"/>
    </row>
    <row r="34" spans="2:17" ht="15.95" customHeight="1" thickBot="1" x14ac:dyDescent="0.3">
      <c r="B34" s="44">
        <v>2025</v>
      </c>
      <c r="C34" s="14" t="s">
        <v>70</v>
      </c>
      <c r="D34" s="47">
        <v>899</v>
      </c>
      <c r="E34" s="16" t="s">
        <v>58</v>
      </c>
      <c r="G34" s="44"/>
      <c r="H34" s="14"/>
      <c r="I34" s="47"/>
      <c r="J34" s="16"/>
      <c r="K34" s="16"/>
      <c r="L34" s="16"/>
      <c r="M34" s="16"/>
      <c r="N34" s="16"/>
      <c r="O34" s="107"/>
      <c r="P34" s="16"/>
      <c r="Q34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6CE9D0CE7771A4A85E383FB88B764F9" ma:contentTypeVersion="3" ma:contentTypeDescription="Crie um novo documento." ma:contentTypeScope="" ma:versionID="6082d79361d4d5bec848e595c18ef183">
  <xsd:schema xmlns:xsd="http://www.w3.org/2001/XMLSchema" xmlns:xs="http://www.w3.org/2001/XMLSchema" xmlns:p="http://schemas.microsoft.com/office/2006/metadata/properties" xmlns:ns2="25f21d48-53d2-4cda-be32-d4b8158457b2" targetNamespace="http://schemas.microsoft.com/office/2006/metadata/properties" ma:root="true" ma:fieldsID="098f3bc73bb6ee89a0196fda6fa03bd9" ns2:_="">
    <xsd:import namespace="25f21d48-53d2-4cda-be32-d4b8158457b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f21d48-53d2-4cda-be32-d4b8158457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25BF576-4A82-499B-BB66-CCDBB6C3A772}"/>
</file>

<file path=customXml/itemProps2.xml><?xml version="1.0" encoding="utf-8"?>
<ds:datastoreItem xmlns:ds="http://schemas.openxmlformats.org/officeDocument/2006/customXml" ds:itemID="{BC3F470B-2AD2-464A-9194-550E2588D837}"/>
</file>

<file path=customXml/itemProps3.xml><?xml version="1.0" encoding="utf-8"?>
<ds:datastoreItem xmlns:ds="http://schemas.openxmlformats.org/officeDocument/2006/customXml" ds:itemID="{F8057D97-7936-46E9-B2C4-B7E78FCA6E9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CONTAS</vt:lpstr>
      <vt:lpstr>VENDAS</vt:lpstr>
      <vt:lpstr>APURAÇÃO SUBTOTAIS</vt:lpstr>
      <vt:lpstr>CONSOLIDAÇÃO VALORES</vt:lpstr>
      <vt:lpstr>DADOS DINÂMICOS</vt:lpstr>
      <vt:lpstr>TABELA DINÂMICA</vt:lpstr>
      <vt:lpstr>DADOS GRÁFICO</vt:lpstr>
      <vt:lpstr>PEDIDOS</vt:lpstr>
      <vt:lpstr>GRAFICO VENDAS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Humberto</cp:lastModifiedBy>
  <dcterms:created xsi:type="dcterms:W3CDTF">2011-05-09T13:39:36Z</dcterms:created>
  <dcterms:modified xsi:type="dcterms:W3CDTF">2020-06-04T14:04:20Z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0x01010046CE9D0CE7771A4A85E383FB88B764F9</vt:lpwstr>
  </property>
</Properties>
</file>