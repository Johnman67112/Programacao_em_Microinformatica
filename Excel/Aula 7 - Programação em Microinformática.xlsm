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load_planilha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f655c7a190078e5/Área de Trabalho/Fatec/1° Semestre/Programação em Microinformática/Material/Excel/"/>
    </mc:Choice>
  </mc:AlternateContent>
  <xr:revisionPtr revIDLastSave="34" documentId="13_ncr:1_{1EB3F3C0-E706-412F-B16D-3E41440FF2AF}" xr6:coauthVersionLast="45" xr6:coauthVersionMax="45" xr10:uidLastSave="{89002993-08C6-40DF-966C-48E2B1FFC683}"/>
  <bookViews>
    <workbookView xWindow="-108" yWindow="-108" windowWidth="23256" windowHeight="12576" tabRatio="777" xr2:uid="{00000000-000D-0000-FFFF-FFFF00000000}"/>
  </bookViews>
  <sheets>
    <sheet name="HOME" sheetId="1" r:id="rId1"/>
    <sheet name="VENDAS" sheetId="2" r:id="rId2"/>
    <sheet name="APURAÇÃO SUBTOTAIS" sheetId="3" r:id="rId3"/>
    <sheet name="CONSOLIDAÇÃO VALORES" sheetId="8" r:id="rId4"/>
    <sheet name="TABELA DINÂMICA" sheetId="10" r:id="rId5"/>
    <sheet name="Dinâmica Tabela" sheetId="11" r:id="rId6"/>
    <sheet name="DADOS GRÁFICO" sheetId="7" r:id="rId7"/>
    <sheet name="Paragráfico" sheetId="12" r:id="rId8"/>
    <sheet name="PEDIDOS" sheetId="6" r:id="rId9"/>
  </sheets>
  <functionGroups builtInGroupCount="19"/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2" l="1"/>
  <c r="C142" i="3" l="1"/>
  <c r="C134" i="3"/>
  <c r="C125" i="3"/>
  <c r="C118" i="3"/>
  <c r="C111" i="3"/>
  <c r="C106" i="3"/>
  <c r="C97" i="3"/>
  <c r="C89" i="3"/>
  <c r="C82" i="3"/>
  <c r="C72" i="3"/>
  <c r="C62" i="3"/>
  <c r="C56" i="3"/>
  <c r="C48" i="3"/>
  <c r="C39" i="3"/>
  <c r="C32" i="3"/>
  <c r="C25" i="3"/>
  <c r="C16" i="3"/>
  <c r="C143" i="3" s="1"/>
  <c r="H11" i="2" l="1"/>
  <c r="H12" i="2"/>
  <c r="H13" i="2"/>
  <c r="H14" i="2"/>
  <c r="H15" i="2"/>
  <c r="H16" i="2"/>
  <c r="H17" i="2"/>
  <c r="H18" i="2"/>
  <c r="H10" i="2"/>
  <c r="F11" i="2"/>
  <c r="F12" i="2"/>
  <c r="F13" i="2"/>
  <c r="F14" i="2"/>
  <c r="F15" i="2"/>
  <c r="F16" i="2"/>
  <c r="F17" i="2"/>
  <c r="F18" i="2"/>
  <c r="F10" i="2"/>
  <c r="C11" i="2"/>
  <c r="C12" i="2"/>
  <c r="C13" i="2"/>
  <c r="C14" i="2"/>
  <c r="C15" i="2"/>
  <c r="C16" i="2"/>
  <c r="C17" i="2"/>
  <c r="C18" i="2"/>
  <c r="R18" i="2" l="1"/>
  <c r="R17" i="2"/>
  <c r="R16" i="2"/>
  <c r="P18" i="2"/>
  <c r="P17" i="2"/>
  <c r="P16" i="2"/>
  <c r="I10" i="2"/>
  <c r="P11" i="2"/>
  <c r="P10" i="2"/>
  <c r="I18" i="2"/>
  <c r="I17" i="2"/>
  <c r="I16" i="2"/>
  <c r="I15" i="2"/>
  <c r="I14" i="2"/>
  <c r="I13" i="2"/>
  <c r="I12" i="2"/>
  <c r="I11" i="2"/>
  <c r="P14" i="2" l="1"/>
  <c r="P13" i="2"/>
  <c r="H20" i="2"/>
  <c r="P12" i="2"/>
  <c r="P15" i="2"/>
  <c r="H23" i="2" l="1"/>
  <c r="H24" i="2" s="1"/>
  <c r="H22" i="2"/>
</calcChain>
</file>

<file path=xl/sharedStrings.xml><?xml version="1.0" encoding="utf-8"?>
<sst xmlns="http://schemas.openxmlformats.org/spreadsheetml/2006/main" count="529" uniqueCount="192">
  <si>
    <t>Nome do Cliente</t>
  </si>
  <si>
    <t>CPF / CNPJ</t>
  </si>
  <si>
    <t>DADOS DO CLIENTE</t>
  </si>
  <si>
    <t>ID DO CLIENTE</t>
  </si>
  <si>
    <t>Forma de pagamento</t>
  </si>
  <si>
    <t>Subtotal parcial</t>
  </si>
  <si>
    <t>Desconto concedido</t>
  </si>
  <si>
    <t>Total a pagar</t>
  </si>
  <si>
    <t>DADOS DO(S) PRODUTO(S)</t>
  </si>
  <si>
    <t>Qtde produtos de informática</t>
  </si>
  <si>
    <t>Qtde produtos de telefonia</t>
  </si>
  <si>
    <t>Qtde produtos eletrônicos</t>
  </si>
  <si>
    <t>ESTATÍSTICAS GERAIS - PRODUTOS</t>
  </si>
  <si>
    <t>ID DO PRODUTO</t>
  </si>
  <si>
    <t>DESCRIÇÃO DO PRODUTO</t>
  </si>
  <si>
    <t>DEPTO</t>
  </si>
  <si>
    <t>QTDE</t>
  </si>
  <si>
    <t>$ UNITÁRIO</t>
  </si>
  <si>
    <t>SUBTOTAL</t>
  </si>
  <si>
    <t>Média global do subtotal</t>
  </si>
  <si>
    <t xml:space="preserve">Empresas </t>
  </si>
  <si>
    <t>Valores</t>
  </si>
  <si>
    <t>ACER</t>
  </si>
  <si>
    <t>AOC</t>
  </si>
  <si>
    <t>ATI COMPONENTES</t>
  </si>
  <si>
    <t>BENQ</t>
  </si>
  <si>
    <t>CREATIVE</t>
  </si>
  <si>
    <t>DLINK</t>
  </si>
  <si>
    <t>HP</t>
  </si>
  <si>
    <t>INTEL</t>
  </si>
  <si>
    <t>KINGSTON</t>
  </si>
  <si>
    <t>LEXMARK</t>
  </si>
  <si>
    <t>LG</t>
  </si>
  <si>
    <t>MICROSOFT</t>
  </si>
  <si>
    <t>MULTILASER</t>
  </si>
  <si>
    <t>PHILIPS</t>
  </si>
  <si>
    <t>SAMSUNG</t>
  </si>
  <si>
    <t>SONY</t>
  </si>
  <si>
    <t>Nº Notas Fiscais</t>
  </si>
  <si>
    <t>NOKIA</t>
  </si>
  <si>
    <t>Consolidação de Valores</t>
  </si>
  <si>
    <t>ID PRODUTO</t>
  </si>
  <si>
    <t>Monitor LCD 19'' AOC</t>
  </si>
  <si>
    <t>Pen Drive 4GB</t>
  </si>
  <si>
    <t>Notebook Sony Vaio</t>
  </si>
  <si>
    <t>Roteador Wireless</t>
  </si>
  <si>
    <t>Placa de Captura TV Pinnacle</t>
  </si>
  <si>
    <t>Adaptador Porta USB</t>
  </si>
  <si>
    <t>Kit Multimidia (Cx.Som 5.1)</t>
  </si>
  <si>
    <t>Leitor de Código de Barras</t>
  </si>
  <si>
    <t>Mouse Óptico sem fio Microsoft</t>
  </si>
  <si>
    <t>Smartphone Nokia N8</t>
  </si>
  <si>
    <t>Telefone sem fio Motorola</t>
  </si>
  <si>
    <t>Nextel i897 Ferrari</t>
  </si>
  <si>
    <t>TV Led 40'' Samsung</t>
  </si>
  <si>
    <t>Home Theater - Philips</t>
  </si>
  <si>
    <t>Informática</t>
  </si>
  <si>
    <t>Telefonia</t>
  </si>
  <si>
    <t>Eletrônicos</t>
  </si>
  <si>
    <t>Blu-Ray e DVD Player  - Sony</t>
  </si>
  <si>
    <t>Impressora Multi HP</t>
  </si>
  <si>
    <t>Notebook Dell</t>
  </si>
  <si>
    <t>Antena de TV DHTV - Benq</t>
  </si>
  <si>
    <t>Teclado sem fio Microsoft</t>
  </si>
  <si>
    <t xml:space="preserve">TIMChip Infinity Pré - 128KB </t>
  </si>
  <si>
    <t>Vivo Chip Avulso DDD 11</t>
  </si>
  <si>
    <t>Chip Claro 128K Pré-Pago - DDD11</t>
  </si>
  <si>
    <t>Motorola EX115 Preto - GSM</t>
  </si>
  <si>
    <t>TV 40" LED 3D Full HD - Samsung</t>
  </si>
  <si>
    <t>Nobreak Logitech 127w</t>
  </si>
  <si>
    <t>DVD Player Automotivo - Buster</t>
  </si>
  <si>
    <t>RECEITAS DE VENDAS ANUAIS 2009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</si>
  <si>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</si>
  <si>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</si>
  <si>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</si>
  <si>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</si>
  <si>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</si>
  <si>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</si>
  <si>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</si>
  <si>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</si>
  <si>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</si>
  <si>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</si>
  <si>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</si>
  <si>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</si>
  <si>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</si>
  <si>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</si>
  <si>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</si>
  <si>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Elaborar um gráfico tipo (linha) em uma "nova planilha",</t>
  </si>
  <si>
    <t>traçando um comparativo de vendas mensais em relação</t>
  </si>
  <si>
    <t>a meta da referida empresa.</t>
  </si>
  <si>
    <t>RECEITAS DE VENDAS ANUAIS 2010</t>
  </si>
  <si>
    <t>RG.</t>
  </si>
  <si>
    <t>Referências - Forma de Pagamento</t>
  </si>
  <si>
    <t>À Vista</t>
  </si>
  <si>
    <t>À Prazo - cheque</t>
  </si>
  <si>
    <t>Cartão Crédito</t>
  </si>
  <si>
    <t>Desconto 5%</t>
  </si>
  <si>
    <t>Subtotal - Produtos informática</t>
  </si>
  <si>
    <t>Subtotal - Produtos telefonia</t>
  </si>
  <si>
    <t>Subtotal - Produtos eletrônicos</t>
  </si>
  <si>
    <t>mensal de cada empresa fornecedora de produtos.</t>
  </si>
  <si>
    <t>Produtos</t>
  </si>
  <si>
    <t>Depto</t>
  </si>
  <si>
    <t>Janeiro</t>
  </si>
  <si>
    <t>Fevereiro</t>
  </si>
  <si>
    <t>Março</t>
  </si>
  <si>
    <t>fornecedora de produtos.</t>
  </si>
  <si>
    <t>Elaborar apuração de subtotais, definindo o total de faturamento</t>
  </si>
  <si>
    <t>Demonstrativo Mensal de Receitas  - Novembro  2012</t>
  </si>
  <si>
    <t>Demonstrativo Mensal de Receitas  -  Novembro 2012</t>
  </si>
  <si>
    <t>Segundo Menor $ Unitário</t>
  </si>
  <si>
    <t>Quarto Maior $ Unitário</t>
  </si>
  <si>
    <t>Desconto 20%</t>
  </si>
  <si>
    <t>3 vezes</t>
  </si>
  <si>
    <t>Valor da parcela - 3X</t>
  </si>
  <si>
    <t>Juros de 4,75%</t>
  </si>
  <si>
    <t>Juros de 9,69%</t>
  </si>
  <si>
    <t>CPF</t>
  </si>
  <si>
    <t>NOME DO CLIENTE</t>
  </si>
  <si>
    <t>RG</t>
  </si>
  <si>
    <t>PRODUTO COMPRADO</t>
  </si>
  <si>
    <t>CATEGORIA</t>
  </si>
  <si>
    <t>VALOR TOTAL</t>
  </si>
  <si>
    <t>QTDE DO PRODUTO</t>
  </si>
  <si>
    <t>ID CLIENTE</t>
  </si>
  <si>
    <t>DATA DA COMPRA</t>
  </si>
  <si>
    <t>HORA DA COMPRA</t>
  </si>
  <si>
    <t xml:space="preserve">Consolidar a média de faturamento mensal de cada empresa </t>
  </si>
  <si>
    <t>Média Faturamento</t>
  </si>
  <si>
    <t>ACER Total</t>
  </si>
  <si>
    <t>AOC Total</t>
  </si>
  <si>
    <t>ATI COMPONENTES Total</t>
  </si>
  <si>
    <t>BENQ Total</t>
  </si>
  <si>
    <t>CREATIVE Total</t>
  </si>
  <si>
    <t>DLINK Total</t>
  </si>
  <si>
    <t>HP Total</t>
  </si>
  <si>
    <t>INTEL Total</t>
  </si>
  <si>
    <t>KINGSTON Total</t>
  </si>
  <si>
    <t>LEXMARK Total</t>
  </si>
  <si>
    <t>LG Total</t>
  </si>
  <si>
    <t>MICROSOFT Total</t>
  </si>
  <si>
    <t>MULTILASER Total</t>
  </si>
  <si>
    <t>NOKIA Total</t>
  </si>
  <si>
    <t>PHILIPS Total</t>
  </si>
  <si>
    <t>SAMSUNG Total</t>
  </si>
  <si>
    <t>SONY Total</t>
  </si>
  <si>
    <t>Total Geral</t>
  </si>
  <si>
    <t>(Tudo)</t>
  </si>
  <si>
    <t>Soma de Janeiro</t>
  </si>
  <si>
    <t>Soma de Fevereiro</t>
  </si>
  <si>
    <t>Soma de Março</t>
  </si>
  <si>
    <t>VALOR UNITÁRIO</t>
  </si>
  <si>
    <t>111</t>
  </si>
  <si>
    <t>MOQUIDÉSIA CRISTIANE</t>
  </si>
  <si>
    <t>222</t>
  </si>
  <si>
    <t xml:space="preserve">TIMCHIP INFINITY PRÉ - 128KB </t>
  </si>
  <si>
    <t>ELETRÔNICOS</t>
  </si>
  <si>
    <t>10</t>
  </si>
  <si>
    <t>12</t>
  </si>
  <si>
    <t>666</t>
  </si>
  <si>
    <t>LÚCIFER MORNINGSTAR</t>
  </si>
  <si>
    <t>MONITOR LCD 19'' AOC</t>
  </si>
  <si>
    <t>550</t>
  </si>
  <si>
    <t>777</t>
  </si>
  <si>
    <t>RAFFA MOREIRA MANO SKRR SKRR SKRR</t>
  </si>
  <si>
    <t>MOTOROLA EX115 PRETO - GSM</t>
  </si>
  <si>
    <t>10000</t>
  </si>
  <si>
    <t>660</t>
  </si>
  <si>
    <t>07068093868</t>
  </si>
  <si>
    <t>LUIZ IGNÁCIO "LULA LADRÃO QUE ROUBOU MEU CORAÇÃO" DA SILVA</t>
  </si>
  <si>
    <t>13</t>
  </si>
  <si>
    <t>NOTEBOOK DELL</t>
  </si>
  <si>
    <t>1000</t>
  </si>
  <si>
    <t>1890</t>
  </si>
  <si>
    <t>6666666666</t>
  </si>
  <si>
    <t>LUCIRALDO DA SILVA</t>
  </si>
  <si>
    <t>6666666</t>
  </si>
  <si>
    <t>PEN DRIVE 4GB</t>
  </si>
  <si>
    <t>50</t>
  </si>
  <si>
    <t>29</t>
  </si>
  <si>
    <t>44444</t>
  </si>
  <si>
    <t>PORTUGAL</t>
  </si>
  <si>
    <t>0000000012</t>
  </si>
  <si>
    <t>rtsagef</t>
  </si>
  <si>
    <t>OU,YSGBDRTEVF</t>
  </si>
  <si>
    <t>yjmghundtfs</t>
  </si>
  <si>
    <t>NOTEBOOK SONY VAIO</t>
  </si>
  <si>
    <t>INFORMÁTICA</t>
  </si>
  <si>
    <t>3120</t>
  </si>
  <si>
    <t>1111111222</t>
  </si>
  <si>
    <t>JOSEPH</t>
  </si>
  <si>
    <t>682758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</si>
</sst>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_(&quot;R$ &quot;* #,##0.00_);_(&quot;R$ &quot;* \(#,##0.00\);_(&quot;R$ &quot;* &quot;-&quot;??_);_(@_)"/>
    <numFmt numFmtId="168" formatCode="&quot;R$ &quot;#,##0.00"/>
    <numFmt numFmtId="169" formatCode="&quot;R$ &quot;#,##0.00_);\(&quot;R$ &quot;#,##0.00\)"/>
    <numFmt numFmtId="170" formatCode="&quot;R$&quot;\ #,##0.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2"/>
      <color theme="0"/>
      <name val="Arial"/>
      <family val="2"/>
    </font>
    <font>
      <b/>
      <sz val="9"/>
      <name val="Arial"/>
      <family val="2"/>
    </font>
    <font>
      <b/>
      <sz val="9"/>
      <name val="Arial Rounded MT Bold"/>
      <family val="2"/>
    </font>
    <font>
      <b/>
      <sz val="7.5"/>
      <color indexed="8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b/>
      <i/>
      <sz val="10"/>
      <color rgb="FFFF0000"/>
      <name val="Arial"/>
      <family val="2"/>
    </font>
    <font>
      <b/>
      <i/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2" tint="-0.89999084444715716"/>
      <name val="Arial"/>
      <family val="2"/>
    </font>
    <font>
      <b/>
      <sz val="11"/>
      <color theme="0"/>
      <name val="Arial"/>
      <family val="2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</cellStyleXfs>
  <cellXfs count="192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8" fillId="0" borderId="0" xfId="0" quotePrefix="1" applyFont="1" applyFill="1" applyBorder="1" applyAlignment="1">
      <alignment horizontal="center" vertical="center"/>
    </xf>
    <xf numFmtId="0" fontId="5" fillId="0" borderId="19" xfId="0" applyFont="1" applyBorder="1" applyAlignment="1"/>
    <xf numFmtId="0" fontId="5" fillId="0" borderId="18" xfId="0" applyFont="1" applyBorder="1" applyAlignment="1"/>
    <xf numFmtId="0" fontId="5" fillId="0" borderId="24" xfId="0" applyFont="1" applyBorder="1" applyAlignment="1"/>
    <xf numFmtId="0" fontId="0" fillId="0" borderId="22" xfId="0" applyBorder="1"/>
    <xf numFmtId="0" fontId="0" fillId="0" borderId="40" xfId="0" applyBorder="1"/>
    <xf numFmtId="0" fontId="0" fillId="0" borderId="27" xfId="0" applyBorder="1"/>
    <xf numFmtId="0" fontId="0" fillId="0" borderId="19" xfId="0" applyBorder="1"/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168" fontId="0" fillId="0" borderId="0" xfId="0" applyNumberFormat="1"/>
    <xf numFmtId="0" fontId="5" fillId="0" borderId="0" xfId="0" applyFont="1"/>
    <xf numFmtId="1" fontId="0" fillId="0" borderId="43" xfId="0" applyNumberFormat="1" applyBorder="1"/>
    <xf numFmtId="1" fontId="7" fillId="0" borderId="43" xfId="0" applyNumberFormat="1" applyFont="1" applyBorder="1" applyAlignment="1">
      <alignment horizontal="center"/>
    </xf>
    <xf numFmtId="1" fontId="7" fillId="0" borderId="44" xfId="0" applyNumberFormat="1" applyFont="1" applyBorder="1" applyAlignment="1">
      <alignment horizontal="center"/>
    </xf>
    <xf numFmtId="1" fontId="0" fillId="0" borderId="44" xfId="0" applyNumberFormat="1" applyFill="1" applyBorder="1"/>
    <xf numFmtId="1" fontId="7" fillId="0" borderId="44" xfId="0" applyNumberFormat="1" applyFont="1" applyFill="1" applyBorder="1" applyAlignment="1">
      <alignment horizontal="center"/>
    </xf>
    <xf numFmtId="1" fontId="0" fillId="0" borderId="44" xfId="0" applyNumberFormat="1" applyBorder="1"/>
    <xf numFmtId="0" fontId="7" fillId="0" borderId="44" xfId="0" applyNumberFormat="1" applyFont="1" applyBorder="1" applyAlignment="1">
      <alignment horizontal="center"/>
    </xf>
    <xf numFmtId="0" fontId="12" fillId="0" borderId="0" xfId="0" applyFont="1"/>
    <xf numFmtId="1" fontId="0" fillId="0" borderId="45" xfId="0" applyNumberFormat="1" applyBorder="1"/>
    <xf numFmtId="1" fontId="7" fillId="0" borderId="45" xfId="0" applyNumberFormat="1" applyFont="1" applyBorder="1" applyAlignment="1">
      <alignment horizontal="center"/>
    </xf>
    <xf numFmtId="165" fontId="0" fillId="0" borderId="43" xfId="2" applyFont="1" applyBorder="1" applyAlignment="1">
      <alignment horizontal="left"/>
    </xf>
    <xf numFmtId="165" fontId="0" fillId="0" borderId="44" xfId="2" applyFont="1" applyBorder="1" applyAlignment="1">
      <alignment horizontal="left"/>
    </xf>
    <xf numFmtId="165" fontId="0" fillId="0" borderId="44" xfId="2" applyFont="1" applyFill="1" applyBorder="1" applyAlignment="1">
      <alignment horizontal="left"/>
    </xf>
    <xf numFmtId="165" fontId="0" fillId="0" borderId="45" xfId="2" applyFont="1" applyBorder="1" applyAlignment="1">
      <alignment horizontal="left"/>
    </xf>
    <xf numFmtId="165" fontId="0" fillId="0" borderId="8" xfId="2" applyNumberFormat="1" applyFont="1" applyBorder="1" applyAlignment="1">
      <alignment horizontal="left"/>
    </xf>
    <xf numFmtId="165" fontId="0" fillId="0" borderId="34" xfId="2" applyNumberFormat="1" applyFont="1" applyBorder="1" applyAlignment="1">
      <alignment horizontal="left"/>
    </xf>
    <xf numFmtId="165" fontId="0" fillId="0" borderId="34" xfId="2" applyNumberFormat="1" applyFont="1" applyFill="1" applyBorder="1" applyAlignment="1">
      <alignment horizontal="left"/>
    </xf>
    <xf numFmtId="165" fontId="0" fillId="0" borderId="34" xfId="0" applyNumberFormat="1" applyBorder="1"/>
    <xf numFmtId="165" fontId="0" fillId="0" borderId="14" xfId="0" applyNumberFormat="1" applyBorder="1"/>
    <xf numFmtId="1" fontId="0" fillId="0" borderId="47" xfId="0" applyNumberFormat="1" applyBorder="1"/>
    <xf numFmtId="0" fontId="0" fillId="0" borderId="44" xfId="0" applyBorder="1"/>
    <xf numFmtId="0" fontId="0" fillId="0" borderId="45" xfId="0" applyBorder="1"/>
    <xf numFmtId="0" fontId="5" fillId="0" borderId="0" xfId="0" applyFont="1" applyAlignment="1">
      <alignment horizontal="left"/>
    </xf>
    <xf numFmtId="0" fontId="15" fillId="0" borderId="18" xfId="3" applyFont="1" applyFill="1" applyBorder="1" applyAlignment="1">
      <alignment horizontal="center" wrapText="1"/>
    </xf>
    <xf numFmtId="0" fontId="14" fillId="0" borderId="19" xfId="3" applyFont="1" applyFill="1" applyBorder="1" applyAlignment="1">
      <alignment wrapText="1"/>
    </xf>
    <xf numFmtId="0" fontId="15" fillId="0" borderId="9" xfId="3" applyFont="1" applyFill="1" applyBorder="1" applyAlignment="1">
      <alignment horizontal="center" wrapText="1"/>
    </xf>
    <xf numFmtId="165" fontId="14" fillId="0" borderId="19" xfId="2" applyFont="1" applyFill="1" applyBorder="1" applyAlignment="1">
      <alignment horizontal="center" wrapText="1"/>
    </xf>
    <xf numFmtId="165" fontId="0" fillId="0" borderId="19" xfId="2" applyFont="1" applyBorder="1"/>
    <xf numFmtId="165" fontId="0" fillId="0" borderId="12" xfId="2" applyFont="1" applyBorder="1"/>
    <xf numFmtId="0" fontId="13" fillId="0" borderId="0" xfId="0" applyFont="1" applyFill="1" applyBorder="1" applyAlignment="1">
      <alignment horizontal="center" vertical="center"/>
    </xf>
    <xf numFmtId="169" fontId="17" fillId="0" borderId="0" xfId="1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169" fontId="17" fillId="0" borderId="17" xfId="1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7" fontId="17" fillId="0" borderId="43" xfId="2" applyNumberFormat="1" applyFont="1" applyFill="1" applyBorder="1" applyAlignment="1">
      <alignment horizontal="center" vertical="center"/>
    </xf>
    <xf numFmtId="169" fontId="17" fillId="0" borderId="24" xfId="1" applyNumberFormat="1" applyFont="1" applyFill="1" applyBorder="1" applyAlignment="1">
      <alignment horizontal="center" vertical="center"/>
    </xf>
    <xf numFmtId="0" fontId="10" fillId="0" borderId="48" xfId="0" applyFont="1" applyFill="1" applyBorder="1" applyAlignment="1">
      <alignment horizontal="center" vertical="center"/>
    </xf>
    <xf numFmtId="169" fontId="17" fillId="0" borderId="39" xfId="1" applyNumberFormat="1" applyFont="1" applyFill="1" applyBorder="1" applyAlignment="1">
      <alignment horizontal="center" vertical="center"/>
    </xf>
    <xf numFmtId="167" fontId="17" fillId="0" borderId="28" xfId="2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0" fillId="0" borderId="32" xfId="0" applyFont="1" applyBorder="1" applyAlignment="1">
      <alignment horizontal="left"/>
    </xf>
    <xf numFmtId="0" fontId="20" fillId="0" borderId="29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0" fontId="0" fillId="0" borderId="0" xfId="0" applyFill="1" applyBorder="1"/>
    <xf numFmtId="0" fontId="14" fillId="0" borderId="0" xfId="3" applyFont="1" applyFill="1" applyBorder="1" applyAlignment="1">
      <alignment wrapText="1"/>
    </xf>
    <xf numFmtId="165" fontId="14" fillId="0" borderId="0" xfId="2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0" xfId="2" applyFont="1" applyBorder="1"/>
    <xf numFmtId="0" fontId="0" fillId="0" borderId="19" xfId="0" applyBorder="1" applyAlignment="1">
      <alignment horizontal="center"/>
    </xf>
    <xf numFmtId="170" fontId="0" fillId="0" borderId="19" xfId="0" applyNumberFormat="1" applyBorder="1" applyAlignment="1">
      <alignment horizontal="center"/>
    </xf>
    <xf numFmtId="170" fontId="0" fillId="0" borderId="19" xfId="0" applyNumberFormat="1" applyBorder="1"/>
    <xf numFmtId="165" fontId="18" fillId="0" borderId="19" xfId="2" applyFont="1" applyBorder="1" applyAlignment="1">
      <alignment horizontal="center"/>
    </xf>
    <xf numFmtId="0" fontId="0" fillId="3" borderId="0" xfId="0" applyFill="1"/>
    <xf numFmtId="0" fontId="13" fillId="4" borderId="3" xfId="0" applyFont="1" applyFill="1" applyBorder="1" applyAlignment="1">
      <alignment horizontal="center" vertical="center"/>
    </xf>
    <xf numFmtId="0" fontId="0" fillId="0" borderId="0" xfId="0" applyFill="1"/>
    <xf numFmtId="0" fontId="16" fillId="4" borderId="5" xfId="0" applyFont="1" applyFill="1" applyBorder="1" applyAlignment="1">
      <alignment horizontal="center" vertical="center" wrapText="1"/>
    </xf>
    <xf numFmtId="0" fontId="16" fillId="4" borderId="41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/>
    </xf>
    <xf numFmtId="0" fontId="15" fillId="4" borderId="19" xfId="3" applyFont="1" applyFill="1" applyBorder="1" applyAlignment="1">
      <alignment horizontal="center" wrapText="1"/>
    </xf>
    <xf numFmtId="165" fontId="15" fillId="4" borderId="19" xfId="2" applyFont="1" applyFill="1" applyBorder="1" applyAlignment="1">
      <alignment horizontal="center" wrapText="1"/>
    </xf>
    <xf numFmtId="0" fontId="20" fillId="4" borderId="19" xfId="0" applyFont="1" applyFill="1" applyBorder="1" applyAlignment="1">
      <alignment horizontal="center"/>
    </xf>
    <xf numFmtId="1" fontId="5" fillId="5" borderId="3" xfId="0" applyNumberFormat="1" applyFont="1" applyFill="1" applyBorder="1" applyAlignment="1">
      <alignment horizontal="center"/>
    </xf>
    <xf numFmtId="168" fontId="5" fillId="5" borderId="3" xfId="0" applyNumberFormat="1" applyFont="1" applyFill="1" applyBorder="1" applyAlignment="1">
      <alignment horizontal="center"/>
    </xf>
    <xf numFmtId="1" fontId="5" fillId="5" borderId="46" xfId="0" applyNumberFormat="1" applyFont="1" applyFill="1" applyBorder="1" applyAlignment="1">
      <alignment horizontal="center"/>
    </xf>
    <xf numFmtId="168" fontId="5" fillId="5" borderId="46" xfId="0" applyNumberFormat="1" applyFont="1" applyFill="1" applyBorder="1" applyAlignment="1">
      <alignment horizontal="center"/>
    </xf>
    <xf numFmtId="1" fontId="0" fillId="0" borderId="0" xfId="0" applyNumberFormat="1"/>
    <xf numFmtId="0" fontId="22" fillId="0" borderId="0" xfId="0" applyFont="1"/>
    <xf numFmtId="0" fontId="4" fillId="5" borderId="5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32" xfId="0" applyFont="1" applyFill="1" applyBorder="1" applyAlignment="1"/>
    <xf numFmtId="0" fontId="4" fillId="5" borderId="8" xfId="0" applyFont="1" applyFill="1" applyBorder="1" applyAlignment="1"/>
    <xf numFmtId="0" fontId="4" fillId="5" borderId="33" xfId="0" applyFont="1" applyFill="1" applyBorder="1" applyAlignment="1"/>
    <xf numFmtId="0" fontId="4" fillId="5" borderId="34" xfId="0" applyFont="1" applyFill="1" applyBorder="1" applyAlignment="1"/>
    <xf numFmtId="0" fontId="4" fillId="5" borderId="35" xfId="0" applyFont="1" applyFill="1" applyBorder="1" applyAlignment="1"/>
    <xf numFmtId="0" fontId="4" fillId="5" borderId="14" xfId="0" applyFont="1" applyFill="1" applyBorder="1" applyAlignment="1"/>
    <xf numFmtId="0" fontId="11" fillId="6" borderId="19" xfId="0" applyFont="1" applyFill="1" applyBorder="1" applyAlignment="1">
      <alignment horizontal="center"/>
    </xf>
    <xf numFmtId="0" fontId="23" fillId="0" borderId="19" xfId="0" applyFont="1" applyBorder="1" applyAlignment="1">
      <alignment horizontal="center"/>
    </xf>
    <xf numFmtId="1" fontId="23" fillId="0" borderId="19" xfId="0" applyNumberFormat="1" applyFont="1" applyBorder="1" applyAlignment="1">
      <alignment horizontal="center"/>
    </xf>
    <xf numFmtId="164" fontId="23" fillId="0" borderId="19" xfId="2" applyNumberFormat="1" applyFont="1" applyBorder="1" applyAlignment="1">
      <alignment horizontal="center"/>
    </xf>
    <xf numFmtId="0" fontId="19" fillId="7" borderId="3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165" fontId="0" fillId="0" borderId="24" xfId="2" applyFont="1" applyBorder="1" applyAlignment="1">
      <alignment horizontal="center"/>
    </xf>
    <xf numFmtId="165" fontId="0" fillId="0" borderId="39" xfId="2" applyFont="1" applyBorder="1" applyAlignment="1">
      <alignment horizontal="center"/>
    </xf>
    <xf numFmtId="0" fontId="16" fillId="4" borderId="38" xfId="0" applyFont="1" applyFill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/>
    </xf>
    <xf numFmtId="14" fontId="0" fillId="0" borderId="24" xfId="0" applyNumberFormat="1" applyBorder="1" applyAlignment="1">
      <alignment horizontal="center"/>
    </xf>
    <xf numFmtId="19" fontId="0" fillId="0" borderId="24" xfId="0" applyNumberFormat="1" applyBorder="1" applyAlignment="1">
      <alignment horizontal="center"/>
    </xf>
    <xf numFmtId="164" fontId="0" fillId="0" borderId="24" xfId="2" applyNumberFormat="1" applyFont="1" applyBorder="1" applyAlignment="1">
      <alignment horizontal="center"/>
    </xf>
    <xf numFmtId="1" fontId="20" fillId="0" borderId="43" xfId="0" applyNumberFormat="1" applyFont="1" applyBorder="1"/>
    <xf numFmtId="1" fontId="20" fillId="0" borderId="44" xfId="0" applyNumberFormat="1" applyFont="1" applyFill="1" applyBorder="1"/>
    <xf numFmtId="1" fontId="20" fillId="0" borderId="44" xfId="0" applyNumberFormat="1" applyFont="1" applyBorder="1"/>
    <xf numFmtId="165" fontId="0" fillId="0" borderId="0" xfId="2" applyFont="1" applyBorder="1" applyAlignment="1">
      <alignment horizontal="left"/>
    </xf>
    <xf numFmtId="1" fontId="7" fillId="0" borderId="0" xfId="0" applyNumberFormat="1" applyFont="1" applyBorder="1" applyAlignment="1">
      <alignment horizontal="center"/>
    </xf>
    <xf numFmtId="1" fontId="20" fillId="0" borderId="0" xfId="0" applyNumberFormat="1" applyFont="1" applyBorder="1"/>
    <xf numFmtId="0" fontId="0" fillId="0" borderId="0" xfId="0" pivotButton="1"/>
    <xf numFmtId="0" fontId="0" fillId="0" borderId="0" xfId="0" applyNumberFormat="1"/>
    <xf numFmtId="0" fontId="25" fillId="0" borderId="0" xfId="0" applyFont="1"/>
    <xf numFmtId="0" fontId="23" fillId="0" borderId="3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/>
    </xf>
    <xf numFmtId="0" fontId="9" fillId="4" borderId="27" xfId="0" applyFont="1" applyFill="1" applyBorder="1" applyAlignment="1">
      <alignment horizontal="center" vertical="center"/>
    </xf>
    <xf numFmtId="165" fontId="23" fillId="0" borderId="33" xfId="2" applyFont="1" applyBorder="1" applyAlignment="1">
      <alignment horizontal="center"/>
    </xf>
    <xf numFmtId="165" fontId="23" fillId="0" borderId="34" xfId="2" applyFont="1" applyBorder="1" applyAlignment="1">
      <alignment horizont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5" fillId="5" borderId="18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5" fillId="5" borderId="30" xfId="0" applyFont="1" applyFill="1" applyBorder="1" applyAlignment="1">
      <alignment horizontal="left"/>
    </xf>
    <xf numFmtId="0" fontId="5" fillId="5" borderId="9" xfId="0" applyFont="1" applyFill="1" applyBorder="1" applyAlignment="1">
      <alignment horizontal="left"/>
    </xf>
    <xf numFmtId="0" fontId="5" fillId="5" borderId="12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left"/>
    </xf>
    <xf numFmtId="0" fontId="9" fillId="4" borderId="19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  <xf numFmtId="0" fontId="5" fillId="5" borderId="42" xfId="0" applyFont="1" applyFill="1" applyBorder="1" applyAlignment="1">
      <alignment horizontal="left"/>
    </xf>
    <xf numFmtId="165" fontId="23" fillId="0" borderId="36" xfId="2" applyFont="1" applyBorder="1" applyAlignment="1">
      <alignment horizontal="center"/>
    </xf>
    <xf numFmtId="165" fontId="23" fillId="0" borderId="37" xfId="2" applyFont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165" fontId="23" fillId="0" borderId="19" xfId="2" applyFont="1" applyBorder="1" applyAlignment="1">
      <alignment horizontal="center"/>
    </xf>
    <xf numFmtId="0" fontId="23" fillId="0" borderId="19" xfId="0" applyFont="1" applyBorder="1" applyAlignment="1">
      <alignment horizontal="left"/>
    </xf>
    <xf numFmtId="165" fontId="23" fillId="0" borderId="18" xfId="2" applyFont="1" applyBorder="1" applyAlignment="1">
      <alignment horizontal="center"/>
    </xf>
    <xf numFmtId="165" fontId="23" fillId="0" borderId="24" xfId="2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165" fontId="23" fillId="0" borderId="9" xfId="2" applyFont="1" applyBorder="1" applyAlignment="1">
      <alignment horizontal="center"/>
    </xf>
    <xf numFmtId="165" fontId="23" fillId="0" borderId="12" xfId="2" applyFont="1" applyBorder="1" applyAlignment="1">
      <alignment horizontal="center"/>
    </xf>
    <xf numFmtId="165" fontId="23" fillId="0" borderId="39" xfId="2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165" fontId="23" fillId="0" borderId="5" xfId="2" applyFont="1" applyBorder="1" applyAlignment="1">
      <alignment horizontal="center"/>
    </xf>
    <xf numFmtId="165" fontId="23" fillId="0" borderId="41" xfId="2" applyFont="1" applyBorder="1" applyAlignment="1">
      <alignment horizontal="center"/>
    </xf>
    <xf numFmtId="165" fontId="23" fillId="0" borderId="38" xfId="2" applyFont="1" applyBorder="1" applyAlignment="1">
      <alignment horizontal="center"/>
    </xf>
    <xf numFmtId="0" fontId="20" fillId="0" borderId="35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1" fillId="4" borderId="1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</cellXfs>
  <cellStyles count="4">
    <cellStyle name="Moeda" xfId="2" builtinId="4"/>
    <cellStyle name="Normal" xfId="0" builtinId="0"/>
    <cellStyle name="Normal_Dados Nota Fiscal" xfId="3" xr:uid="{00000000-0005-0000-0000-000002000000}"/>
    <cellStyle name="Vírgula" xfId="1" builtinId="3"/>
  </cellStyles>
  <dxfs count="1">
    <dxf>
      <font>
        <u/>
      </font>
    </dxf>
  </dxfs>
  <tableStyles count="0" defaultTableStyle="TableStyleMedium9" defaultPivotStyle="PivotStyleLight16"/>
  <colors>
    <mruColors>
      <color rgb="FF232C12"/>
      <color rgb="FFFF6600"/>
      <color rgb="FFFF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Geraldo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2009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GRÁFICO'!$C$11:$C$22</c:f>
              <c:numCache>
                <c:formatCode>"R$ "#,##0.00_);\("R$ "#,##0.00\)</c:formatCode>
                <c:ptCount val="12"/>
                <c:pt idx="0">
                  <c:v>45678</c:v>
                </c:pt>
                <c:pt idx="1">
                  <c:v>66534</c:v>
                </c:pt>
                <c:pt idx="2">
                  <c:v>49876</c:v>
                </c:pt>
                <c:pt idx="3">
                  <c:v>25678</c:v>
                </c:pt>
                <c:pt idx="4">
                  <c:v>12253</c:v>
                </c:pt>
                <c:pt idx="5">
                  <c:v>19854</c:v>
                </c:pt>
                <c:pt idx="6">
                  <c:v>76543</c:v>
                </c:pt>
                <c:pt idx="7">
                  <c:v>45329</c:v>
                </c:pt>
                <c:pt idx="8">
                  <c:v>99876</c:v>
                </c:pt>
                <c:pt idx="9">
                  <c:v>66543</c:v>
                </c:pt>
                <c:pt idx="10">
                  <c:v>124345</c:v>
                </c:pt>
                <c:pt idx="11">
                  <c:v>189773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1-4EE6-98BE-C42B3E85BA68}"/>
            </c:ext>
          </c:extLst>
        </c:ser>
        <c:ser>
          <c:idx val="1"/>
          <c:order val="1"/>
          <c:tx>
            <c:v>2010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GRÁFICO'!$F$11:$F$22</c:f>
              <c:numCache>
                <c:formatCode>"R$ "#,##0.00_);\("R$ "#,##0.00\)</c:formatCode>
                <c:ptCount val="12"/>
                <c:pt idx="0">
                  <c:v>49876</c:v>
                </c:pt>
                <c:pt idx="1">
                  <c:v>59043</c:v>
                </c:pt>
                <c:pt idx="2">
                  <c:v>53456</c:v>
                </c:pt>
                <c:pt idx="3">
                  <c:v>34599</c:v>
                </c:pt>
                <c:pt idx="4">
                  <c:v>17234</c:v>
                </c:pt>
                <c:pt idx="5">
                  <c:v>28903</c:v>
                </c:pt>
                <c:pt idx="6">
                  <c:v>66321</c:v>
                </c:pt>
                <c:pt idx="7">
                  <c:v>43234</c:v>
                </c:pt>
                <c:pt idx="8">
                  <c:v>87654</c:v>
                </c:pt>
                <c:pt idx="9">
                  <c:v>74987</c:v>
                </c:pt>
                <c:pt idx="10">
                  <c:v>144567</c:v>
                </c:pt>
                <c:pt idx="11">
                  <c:v>175876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1-4EE6-98BE-C42B3E85BA68}"/>
            </c:ext>
          </c:extLst>
        </c:ser>
        <c:ser>
          <c:idx val="2"/>
          <c:order val="2"/>
          <c:tx>
            <c:v>Projeções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GRÁFICO'!$H$11:$H$22</c:f>
              <c:numCache>
                <c:formatCode>_("R$ "* #,##0.00_);_("R$ "* \(#,##0.00\);_("R$ "* "-"??_);_(@_)</c:formatCode>
                <c:ptCount val="12"/>
                <c:pt idx="0">
                  <c:v>65000</c:v>
                </c:pt>
                <c:pt idx="1">
                  <c:v>45000</c:v>
                </c:pt>
                <c:pt idx="2">
                  <c:v>40000</c:v>
                </c:pt>
                <c:pt idx="3">
                  <c:v>40000</c:v>
                </c:pt>
                <c:pt idx="4">
                  <c:v>30000</c:v>
                </c:pt>
                <c:pt idx="5">
                  <c:v>25000</c:v>
                </c:pt>
                <c:pt idx="6">
                  <c:v>60000</c:v>
                </c:pt>
                <c:pt idx="7">
                  <c:v>35000</c:v>
                </c:pt>
                <c:pt idx="8">
                  <c:v>80000</c:v>
                </c:pt>
                <c:pt idx="9">
                  <c:v>80000</c:v>
                </c:pt>
                <c:pt idx="10">
                  <c:v>150000</c:v>
                </c:pt>
                <c:pt idx="11">
                  <c:v>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91-4EE6-98BE-C42B3E85B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lt1">
                  <a:lumMod val="50000"/>
                </a:schemeClr>
              </a:solidFill>
              <a:round/>
            </a:ln>
            <a:effectLst/>
          </c:spPr>
        </c:hiLowLines>
        <c:smooth val="0"/>
        <c:axId val="813330575"/>
        <c:axId val="1101948495"/>
      </c:lineChart>
      <c:catAx>
        <c:axId val="8133305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1948495"/>
        <c:crosses val="autoZero"/>
        <c:auto val="1"/>
        <c:lblAlgn val="ctr"/>
        <c:lblOffset val="100"/>
        <c:noMultiLvlLbl val="0"/>
      </c:catAx>
      <c:valAx>
        <c:axId val="110194849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 &quot;#,##0.00_);\(&quot;R$ &quot;#,##0.0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3330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753705-2A18-4576-9528-48BED7E3E746}">
  <sheetPr codeName="Grafico"/>
  <sheetViews>
    <sheetView zoomScale="85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Drop" dropStyle="combo" dx="26" fmlaLink="$A$1" fmlaRange="$L$21:$M$24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11</xdr:row>
      <xdr:rowOff>66675</xdr:rowOff>
    </xdr:from>
    <xdr:to>
      <xdr:col>12</xdr:col>
      <xdr:colOff>581025</xdr:colOff>
      <xdr:row>24</xdr:row>
      <xdr:rowOff>47625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095750" y="2078355"/>
          <a:ext cx="3800475" cy="235839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accent3">
                  <a:lumMod val="75000"/>
                </a:schemeClr>
              </a:solidFill>
            </a:ln>
          </a:endParaRPr>
        </a:p>
      </xdr:txBody>
    </xdr:sp>
    <xdr:clientData/>
  </xdr:twoCellAnchor>
  <xdr:oneCellAnchor>
    <xdr:from>
      <xdr:col>7</xdr:col>
      <xdr:colOff>133350</xdr:colOff>
      <xdr:row>10</xdr:row>
      <xdr:rowOff>142875</xdr:rowOff>
    </xdr:from>
    <xdr:ext cx="1569725" cy="309315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400550" y="2047875"/>
          <a:ext cx="1569725" cy="309315"/>
        </a:xfrm>
        <a:prstGeom prst="rect">
          <a:avLst/>
        </a:prstGeom>
        <a:solidFill>
          <a:srgbClr val="232C1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r>
            <a:rPr lang="pt-BR" sz="1200" b="1" cap="none" spc="0">
              <a:ln/>
              <a:solidFill>
                <a:schemeClr val="accent3"/>
              </a:solidFill>
              <a:effectLst/>
              <a:latin typeface="Arial Black" pitchFamily="34" charset="0"/>
            </a:rPr>
            <a:t>ÁREA</a:t>
          </a:r>
          <a:r>
            <a:rPr lang="pt-BR" sz="1200" b="1" cap="none" spc="0" baseline="0">
              <a:ln/>
              <a:solidFill>
                <a:schemeClr val="accent3"/>
              </a:solidFill>
              <a:effectLst/>
              <a:latin typeface="Arial Black" pitchFamily="34" charset="0"/>
            </a:rPr>
            <a:t> RESTRITA</a:t>
          </a:r>
          <a:endParaRPr lang="pt-BR" sz="1200" b="1" cap="none" spc="0">
            <a:ln/>
            <a:solidFill>
              <a:schemeClr val="accent3"/>
            </a:solidFill>
            <a:effectLst/>
            <a:latin typeface="Arial Black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2</xdr:row>
      <xdr:rowOff>171450</xdr:rowOff>
    </xdr:from>
    <xdr:to>
      <xdr:col>13</xdr:col>
      <xdr:colOff>9525</xdr:colOff>
      <xdr:row>9</xdr:row>
      <xdr:rowOff>57150</xdr:rowOff>
    </xdr:to>
    <xdr:pic>
      <xdr:nvPicPr>
        <xdr:cNvPr id="9" name="Picture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4325" y="552450"/>
          <a:ext cx="38100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352425</xdr:colOff>
      <xdr:row>16</xdr:row>
      <xdr:rowOff>38100</xdr:rowOff>
    </xdr:from>
    <xdr:to>
      <xdr:col>11</xdr:col>
      <xdr:colOff>581397</xdr:colOff>
      <xdr:row>19</xdr:row>
      <xdr:rowOff>76285</xdr:rowOff>
    </xdr:to>
    <xdr:pic macro="[0]!chamar_pedidos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3086100"/>
          <a:ext cx="2667372" cy="609685"/>
        </a:xfrm>
        <a:prstGeom prst="rect">
          <a:avLst/>
        </a:prstGeom>
      </xdr:spPr>
    </xdr:pic>
    <xdr:clientData/>
  </xdr:twoCellAnchor>
  <xdr:twoCellAnchor editAs="oneCell">
    <xdr:from>
      <xdr:col>7</xdr:col>
      <xdr:colOff>359550</xdr:colOff>
      <xdr:row>12</xdr:row>
      <xdr:rowOff>150000</xdr:rowOff>
    </xdr:from>
    <xdr:to>
      <xdr:col>11</xdr:col>
      <xdr:colOff>559943</xdr:colOff>
      <xdr:row>16</xdr:row>
      <xdr:rowOff>45317</xdr:rowOff>
    </xdr:to>
    <xdr:pic macro="[0]!chamar_login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6750" y="2436000"/>
          <a:ext cx="2638793" cy="657317"/>
        </a:xfrm>
        <a:prstGeom prst="rect">
          <a:avLst/>
        </a:prstGeom>
      </xdr:spPr>
    </xdr:pic>
    <xdr:clientData/>
  </xdr:twoCellAnchor>
  <xdr:twoCellAnchor editAs="oneCell">
    <xdr:from>
      <xdr:col>7</xdr:col>
      <xdr:colOff>385725</xdr:colOff>
      <xdr:row>19</xdr:row>
      <xdr:rowOff>99975</xdr:rowOff>
    </xdr:from>
    <xdr:to>
      <xdr:col>11</xdr:col>
      <xdr:colOff>586118</xdr:colOff>
      <xdr:row>22</xdr:row>
      <xdr:rowOff>176265</xdr:rowOff>
    </xdr:to>
    <xdr:pic macro="[0]!exit_excel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2925" y="3719475"/>
          <a:ext cx="2638793" cy="647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</xdr:colOff>
      <xdr:row>19</xdr:row>
      <xdr:rowOff>42333</xdr:rowOff>
    </xdr:from>
    <xdr:to>
      <xdr:col>4</xdr:col>
      <xdr:colOff>592667</xdr:colOff>
      <xdr:row>23</xdr:row>
      <xdr:rowOff>169334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1083" y="3725333"/>
          <a:ext cx="3481917" cy="93133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19</xdr:row>
          <xdr:rowOff>198120</xdr:rowOff>
        </xdr:from>
        <xdr:to>
          <xdr:col>9</xdr:col>
          <xdr:colOff>373380</xdr:colOff>
          <xdr:row>20</xdr:row>
          <xdr:rowOff>182880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47625</xdr:rowOff>
    </xdr:from>
    <xdr:to>
      <xdr:col>3</xdr:col>
      <xdr:colOff>638175</xdr:colOff>
      <xdr:row>6</xdr:row>
      <xdr:rowOff>104775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9075" y="47625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742950</xdr:colOff>
      <xdr:row>6</xdr:row>
      <xdr:rowOff>123825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114300</xdr:rowOff>
    </xdr:from>
    <xdr:to>
      <xdr:col>4</xdr:col>
      <xdr:colOff>180975</xdr:colOff>
      <xdr:row>7</xdr:row>
      <xdr:rowOff>0</xdr:rowOff>
    </xdr:to>
    <xdr:pic>
      <xdr:nvPicPr>
        <xdr:cNvPr id="2" name="Picture 7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11430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95250</xdr:rowOff>
    </xdr:from>
    <xdr:to>
      <xdr:col>5</xdr:col>
      <xdr:colOff>590550</xdr:colOff>
      <xdr:row>6</xdr:row>
      <xdr:rowOff>190500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" y="9525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37059" cy="59973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704850</xdr:colOff>
      <xdr:row>6</xdr:row>
      <xdr:rowOff>76200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ão Vitor Cucomo" refreshedDate="43867.61134664352" createdVersion="6" refreshedVersion="6" minRefreshableVersion="3" recordCount="14" xr:uid="{C9C034C9-B3DE-483D-B6B1-7AFEAD3D3DE9}">
  <cacheSource type="worksheet">
    <worksheetSource ref="B9:F23" sheet="TABELA DINÂMICA"/>
  </cacheSource>
  <cacheFields count="5">
    <cacheField name="Produtos" numFmtId="0">
      <sharedItems count="14">
        <s v="Mouse Óptico sem fio Microsoft"/>
        <s v="Impressora Multi HP"/>
        <s v="Notebook Dell"/>
        <s v="Monitor LCD 19'' AOC"/>
        <s v="Smartphone Nokia N8"/>
        <s v="Telefone sem fio Motorola"/>
        <s v="Pen Drive 4GB"/>
        <s v="Notebook Sony Vaio"/>
        <s v="Teclado sem fio Microsoft"/>
        <s v="Roteador Wireless"/>
        <s v="Placa de Captura TV Pinnacle"/>
        <s v="Adaptador Porta USB"/>
        <s v="Kit Multimidia (Cx.Som 5.1)"/>
        <s v="TIMChip Infinity Pré - 128KB "/>
      </sharedItems>
    </cacheField>
    <cacheField name="Depto" numFmtId="0">
      <sharedItems count="3">
        <s v="Informática"/>
        <s v="Telefonia"/>
        <s v="Eletrônicos"/>
      </sharedItems>
    </cacheField>
    <cacheField name="Janeiro" numFmtId="170">
      <sharedItems containsSemiMixedTypes="0" containsString="0" containsNumber="1" containsInteger="1" minValue="21" maxValue="9876"/>
    </cacheField>
    <cacheField name="Fevereiro" numFmtId="170">
      <sharedItems containsSemiMixedTypes="0" containsString="0" containsNumber="1" containsInteger="1" minValue="2" maxValue="5534"/>
    </cacheField>
    <cacheField name="Março" numFmtId="170">
      <sharedItems containsSemiMixedTypes="0" containsString="0" containsNumber="1" containsInteger="1" minValue="24" maxValue="234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n v="456"/>
    <n v="5534"/>
    <n v="23432"/>
  </r>
  <r>
    <x v="1"/>
    <x v="0"/>
    <n v="333"/>
    <n v="223"/>
    <n v="432"/>
  </r>
  <r>
    <x v="2"/>
    <x v="0"/>
    <n v="3235"/>
    <n v="2"/>
    <n v="32"/>
  </r>
  <r>
    <x v="3"/>
    <x v="0"/>
    <n v="3456"/>
    <n v="121"/>
    <n v="32"/>
  </r>
  <r>
    <x v="4"/>
    <x v="1"/>
    <n v="1234"/>
    <n v="5"/>
    <n v="32"/>
  </r>
  <r>
    <x v="5"/>
    <x v="1"/>
    <n v="9876"/>
    <n v="656"/>
    <n v="32"/>
  </r>
  <r>
    <x v="6"/>
    <x v="0"/>
    <n v="4656"/>
    <n v="4"/>
    <n v="1234"/>
  </r>
  <r>
    <x v="7"/>
    <x v="0"/>
    <n v="4332"/>
    <n v="5"/>
    <n v="453"/>
  </r>
  <r>
    <x v="8"/>
    <x v="0"/>
    <n v="455"/>
    <n v="4"/>
    <n v="24"/>
  </r>
  <r>
    <x v="9"/>
    <x v="0"/>
    <n v="21"/>
    <n v="54"/>
    <n v="543"/>
  </r>
  <r>
    <x v="10"/>
    <x v="0"/>
    <n v="234"/>
    <n v="5"/>
    <n v="543"/>
  </r>
  <r>
    <x v="11"/>
    <x v="0"/>
    <n v="2456"/>
    <n v="5"/>
    <n v="667"/>
  </r>
  <r>
    <x v="12"/>
    <x v="2"/>
    <n v="322"/>
    <n v="6"/>
    <n v="4346"/>
  </r>
  <r>
    <x v="13"/>
    <x v="1"/>
    <n v="122"/>
    <n v="78"/>
    <n v="33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F22E8D-FC98-4510-AF83-1870BA0CDAEC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>
  <location ref="A3:D19" firstHeaderRow="1" firstDataRow="2" firstDataCol="1" rowPageCount="1" colPageCount="1"/>
  <pivotFields count="5">
    <pivotField axis="axisRow" compact="0" outline="0" showAll="0">
      <items count="15">
        <item x="11"/>
        <item x="1"/>
        <item x="12"/>
        <item x="3"/>
        <item x="0"/>
        <item x="2"/>
        <item x="7"/>
        <item x="6"/>
        <item x="10"/>
        <item x="9"/>
        <item x="4"/>
        <item x="8"/>
        <item x="5"/>
        <item x="13"/>
        <item t="default"/>
      </items>
    </pivotField>
    <pivotField axis="axisPage" compact="0" outline="0" showAll="0">
      <items count="4">
        <item x="2"/>
        <item x="0"/>
        <item x="1"/>
        <item t="default"/>
      </items>
    </pivotField>
    <pivotField dataField="1" compact="0" numFmtId="170" outline="0" showAll="0"/>
    <pivotField dataField="1" compact="0" numFmtId="170" outline="0" showAll="0"/>
    <pivotField dataField="1" compact="0" numFmtId="170" outline="0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oma de Janeiro" fld="2" baseField="0" baseItem="0"/>
    <dataField name="Soma de Fevereiro" fld="3" baseField="0" baseItem="0"/>
    <dataField name="Soma de Março" fld="4" baseField="0" baseItem="0"/>
  </dataFields>
  <formats count="1">
    <format dxfId="0">
      <pivotArea dataOnly="0" labelOnly="1" outline="0" fieldPosition="0">
        <references count="1">
          <reference field="0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Z1"/>
  <sheetViews>
    <sheetView showGridLines="0" tabSelected="1" workbookViewId="0">
      <selection activeCell="S12" sqref="S12"/>
    </sheetView>
  </sheetViews>
  <sheetFormatPr defaultRowHeight="14.4" x14ac:dyDescent="0.3"/>
  <sheetData>
    <row r="1" spans="26:26" x14ac:dyDescent="0.3">
      <c r="Z1">
        <v>2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U25"/>
  <sheetViews>
    <sheetView showGridLines="0" zoomScaleNormal="100" workbookViewId="0">
      <selection activeCell="C10" sqref="C10:E10"/>
    </sheetView>
  </sheetViews>
  <sheetFormatPr defaultRowHeight="14.4" x14ac:dyDescent="0.3"/>
  <cols>
    <col min="1" max="1" width="2.88671875" customWidth="1"/>
    <col min="2" max="2" width="18" customWidth="1"/>
    <col min="3" max="3" width="14.6640625" customWidth="1"/>
    <col min="4" max="4" width="10.88671875" customWidth="1"/>
    <col min="5" max="5" width="9.109375" customWidth="1"/>
    <col min="6" max="6" width="11.88671875" customWidth="1"/>
    <col min="7" max="7" width="11.44140625" customWidth="1"/>
    <col min="8" max="8" width="13.44140625" customWidth="1"/>
    <col min="9" max="9" width="9.44140625" customWidth="1"/>
    <col min="10" max="10" width="5.44140625" customWidth="1"/>
    <col min="11" max="11" width="3.6640625" customWidth="1"/>
    <col min="15" max="15" width="5.109375" customWidth="1"/>
    <col min="17" max="17" width="6.44140625" customWidth="1"/>
  </cols>
  <sheetData>
    <row r="1" spans="1:21" ht="15" thickBot="1" x14ac:dyDescent="0.35">
      <c r="A1">
        <v>1</v>
      </c>
    </row>
    <row r="2" spans="1:21" ht="18" thickBot="1" x14ac:dyDescent="0.35">
      <c r="B2" s="102" t="s">
        <v>3</v>
      </c>
      <c r="C2" s="101"/>
      <c r="D2" s="7"/>
      <c r="E2" s="174"/>
      <c r="F2" s="174"/>
      <c r="G2" s="174"/>
      <c r="H2" s="174"/>
      <c r="I2" s="174"/>
      <c r="J2" s="174"/>
    </row>
    <row r="3" spans="1:21" ht="8.25" customHeight="1" thickBot="1" x14ac:dyDescent="0.35">
      <c r="B3" s="1"/>
      <c r="C3" s="1"/>
      <c r="D3" s="2"/>
      <c r="E3" s="3"/>
      <c r="F3" s="3"/>
      <c r="G3" s="3"/>
      <c r="H3" s="3"/>
      <c r="I3" s="3"/>
      <c r="J3" s="3"/>
    </row>
    <row r="4" spans="1:21" ht="16.2" thickBot="1" x14ac:dyDescent="0.35">
      <c r="B4" s="175" t="s">
        <v>2</v>
      </c>
      <c r="C4" s="176"/>
      <c r="D4" s="176"/>
      <c r="E4" s="176"/>
      <c r="F4" s="176"/>
      <c r="G4" s="176"/>
      <c r="H4" s="176"/>
      <c r="I4" s="176"/>
      <c r="J4" s="177"/>
    </row>
    <row r="5" spans="1:21" ht="15.9" customHeight="1" x14ac:dyDescent="0.3">
      <c r="B5" s="89" t="s">
        <v>0</v>
      </c>
      <c r="C5" s="178"/>
      <c r="D5" s="179"/>
      <c r="E5" s="179"/>
      <c r="F5" s="179"/>
      <c r="G5" s="179"/>
      <c r="H5" s="179"/>
      <c r="I5" s="179"/>
      <c r="J5" s="180"/>
    </row>
    <row r="6" spans="1:21" ht="15.9" customHeight="1" thickBot="1" x14ac:dyDescent="0.35">
      <c r="B6" s="90" t="s">
        <v>1</v>
      </c>
      <c r="C6" s="181"/>
      <c r="D6" s="182"/>
      <c r="E6" s="185" t="s">
        <v>91</v>
      </c>
      <c r="F6" s="186"/>
      <c r="G6" s="181"/>
      <c r="H6" s="183"/>
      <c r="I6" s="183"/>
      <c r="J6" s="184"/>
      <c r="U6" s="88"/>
    </row>
    <row r="7" spans="1:21" ht="10.5" customHeight="1" thickBot="1" x14ac:dyDescent="0.35">
      <c r="B7" s="4"/>
      <c r="C7" s="5"/>
      <c r="D7" s="5"/>
      <c r="E7" s="4"/>
      <c r="F7" s="4"/>
      <c r="G7" s="5"/>
      <c r="H7" s="5"/>
      <c r="I7" s="5"/>
      <c r="J7" s="5"/>
    </row>
    <row r="8" spans="1:21" ht="18" customHeight="1" x14ac:dyDescent="0.3">
      <c r="B8" s="140" t="s">
        <v>8</v>
      </c>
      <c r="C8" s="140"/>
      <c r="D8" s="140"/>
      <c r="E8" s="140"/>
      <c r="F8" s="140"/>
      <c r="G8" s="140"/>
      <c r="H8" s="140"/>
      <c r="I8" s="140"/>
      <c r="J8" s="140"/>
      <c r="L8" s="124" t="s">
        <v>12</v>
      </c>
      <c r="M8" s="125"/>
      <c r="N8" s="125"/>
      <c r="O8" s="125"/>
      <c r="P8" s="125"/>
      <c r="Q8" s="126"/>
    </row>
    <row r="9" spans="1:21" ht="15.9" customHeight="1" thickBot="1" x14ac:dyDescent="0.35">
      <c r="B9" s="97" t="s">
        <v>13</v>
      </c>
      <c r="C9" s="146" t="s">
        <v>14</v>
      </c>
      <c r="D9" s="146"/>
      <c r="E9" s="146"/>
      <c r="F9" s="97" t="s">
        <v>15</v>
      </c>
      <c r="G9" s="97" t="s">
        <v>16</v>
      </c>
      <c r="H9" s="97" t="s">
        <v>17</v>
      </c>
      <c r="I9" s="146" t="s">
        <v>18</v>
      </c>
      <c r="J9" s="146"/>
      <c r="L9" s="127"/>
      <c r="M9" s="128"/>
      <c r="N9" s="128"/>
      <c r="O9" s="128"/>
      <c r="P9" s="128"/>
      <c r="Q9" s="129"/>
    </row>
    <row r="10" spans="1:21" ht="15.9" customHeight="1" x14ac:dyDescent="0.3">
      <c r="B10" s="98">
        <v>2000</v>
      </c>
      <c r="C10" s="148" t="str">
        <f>IF(B10&lt;&gt;"",VLOOKUP(B10,PEDIDOS!$B$9:$E$34,2,FALSE),"")</f>
        <v>Mouse Óptico sem fio Microsoft</v>
      </c>
      <c r="D10" s="148"/>
      <c r="E10" s="148"/>
      <c r="F10" s="98" t="str">
        <f>IF(B10&lt;&gt;"",VLOOKUP(B10,PEDIDOS!$B$9:$E$34,4,FALSE),"")</f>
        <v>Informática</v>
      </c>
      <c r="G10" s="99">
        <v>1</v>
      </c>
      <c r="H10" s="100">
        <f>IF(B10&lt;&gt;"",VLOOKUP(B10,PEDIDOS!$B$9:$E$34,3,FALSE),"")</f>
        <v>65</v>
      </c>
      <c r="I10" s="147">
        <f>IF(OR(G10="",H10=""),"",PRODUCT(G10:H10))</f>
        <v>65</v>
      </c>
      <c r="J10" s="147"/>
      <c r="L10" s="141" t="s">
        <v>110</v>
      </c>
      <c r="M10" s="142"/>
      <c r="N10" s="142"/>
      <c r="O10" s="143"/>
      <c r="P10" s="144">
        <f>SMALL(H10:H18,2)</f>
        <v>65</v>
      </c>
      <c r="Q10" s="145"/>
    </row>
    <row r="11" spans="1:21" ht="15.9" customHeight="1" x14ac:dyDescent="0.3">
      <c r="B11" s="98">
        <v>2005</v>
      </c>
      <c r="C11" s="148" t="str">
        <f>IF(B11&lt;&gt;"",VLOOKUP(B11,PEDIDOS!$B$9:$E$34,2,FALSE),"")</f>
        <v>Telefone sem fio Motorola</v>
      </c>
      <c r="D11" s="148"/>
      <c r="E11" s="148"/>
      <c r="F11" s="98" t="str">
        <f>IF(B11&lt;&gt;"",VLOOKUP(B11,PEDIDOS!$B$9:$E$34,4,FALSE),"")</f>
        <v>Telefonia</v>
      </c>
      <c r="G11" s="99">
        <v>2</v>
      </c>
      <c r="H11" s="100">
        <f>IF(B11&lt;&gt;"",VLOOKUP(B11,PEDIDOS!$B$9:$E$34,3,FALSE),"")</f>
        <v>125</v>
      </c>
      <c r="I11" s="147">
        <f t="shared" ref="I11:I18" si="0">IF(OR(G11="",H11=""),"",PRODUCT(G11:H11))</f>
        <v>250</v>
      </c>
      <c r="J11" s="147"/>
      <c r="L11" s="134" t="s">
        <v>111</v>
      </c>
      <c r="M11" s="135"/>
      <c r="N11" s="135"/>
      <c r="O11" s="136"/>
      <c r="P11" s="130">
        <f>LARGE(H10:H18,4)</f>
        <v>399</v>
      </c>
      <c r="Q11" s="131"/>
    </row>
    <row r="12" spans="1:21" ht="15.9" customHeight="1" x14ac:dyDescent="0.3">
      <c r="B12" s="98">
        <v>2001</v>
      </c>
      <c r="C12" s="148" t="str">
        <f>IF(B12&lt;&gt;"",VLOOKUP(B12,PEDIDOS!$B$9:$E$34,2,FALSE),"")</f>
        <v>Impressora Multi HP</v>
      </c>
      <c r="D12" s="148"/>
      <c r="E12" s="148"/>
      <c r="F12" s="98" t="str">
        <f>IF(B12&lt;&gt;"",VLOOKUP(B12,PEDIDOS!$B$9:$E$34,4,FALSE),"")</f>
        <v>Informática</v>
      </c>
      <c r="G12" s="99">
        <v>3</v>
      </c>
      <c r="H12" s="100">
        <f>IF(B12&lt;&gt;"",VLOOKUP(B12,PEDIDOS!$B$9:$E$34,3,FALSE),"")</f>
        <v>399</v>
      </c>
      <c r="I12" s="147">
        <f t="shared" si="0"/>
        <v>1197</v>
      </c>
      <c r="J12" s="147"/>
      <c r="L12" s="134" t="s">
        <v>19</v>
      </c>
      <c r="M12" s="135"/>
      <c r="N12" s="135"/>
      <c r="O12" s="136"/>
      <c r="P12" s="130">
        <f>AVERAGE(I10:J18)</f>
        <v>4697.2222222222226</v>
      </c>
      <c r="Q12" s="131"/>
    </row>
    <row r="13" spans="1:21" ht="15.9" customHeight="1" x14ac:dyDescent="0.3">
      <c r="B13" s="98">
        <v>2002</v>
      </c>
      <c r="C13" s="148" t="str">
        <f>IF(B13&lt;&gt;"",VLOOKUP(B13,PEDIDOS!$B$9:$E$34,2,FALSE),"")</f>
        <v>Notebook Dell</v>
      </c>
      <c r="D13" s="148"/>
      <c r="E13" s="148"/>
      <c r="F13" s="98" t="str">
        <f>IF(B13&lt;&gt;"",VLOOKUP(B13,PEDIDOS!$B$9:$E$34,4,FALSE),"")</f>
        <v>Informática</v>
      </c>
      <c r="G13" s="99">
        <v>4</v>
      </c>
      <c r="H13" s="100">
        <f>IF(B13&lt;&gt;"",VLOOKUP(B13,PEDIDOS!$B$9:$E$34,3,FALSE),"")</f>
        <v>1890</v>
      </c>
      <c r="I13" s="147">
        <f t="shared" si="0"/>
        <v>7560</v>
      </c>
      <c r="J13" s="147"/>
      <c r="L13" s="134" t="s">
        <v>97</v>
      </c>
      <c r="M13" s="135"/>
      <c r="N13" s="135"/>
      <c r="O13" s="136"/>
      <c r="P13" s="130">
        <f>SUMIF(F10:F18,"Informática",I10:J18)</f>
        <v>9397</v>
      </c>
      <c r="Q13" s="131"/>
    </row>
    <row r="14" spans="1:21" ht="15.9" customHeight="1" x14ac:dyDescent="0.3">
      <c r="B14" s="98">
        <v>2019</v>
      </c>
      <c r="C14" s="148" t="str">
        <f>IF(B14&lt;&gt;"",VLOOKUP(B14,PEDIDOS!$B$9:$E$34,2,FALSE),"")</f>
        <v>Leitor de Código de Barras</v>
      </c>
      <c r="D14" s="148"/>
      <c r="E14" s="148"/>
      <c r="F14" s="98" t="str">
        <f>IF(B14&lt;&gt;"",VLOOKUP(B14,PEDIDOS!$B$9:$E$34,4,FALSE),"")</f>
        <v>Informática</v>
      </c>
      <c r="G14" s="99">
        <v>5</v>
      </c>
      <c r="H14" s="100">
        <f>IF(B14&lt;&gt;"",VLOOKUP(B14,PEDIDOS!$B$9:$E$34,3,FALSE),"")</f>
        <v>115</v>
      </c>
      <c r="I14" s="147">
        <f t="shared" si="0"/>
        <v>575</v>
      </c>
      <c r="J14" s="147"/>
      <c r="L14" s="134" t="s">
        <v>98</v>
      </c>
      <c r="M14" s="135"/>
      <c r="N14" s="135"/>
      <c r="O14" s="136"/>
      <c r="P14" s="130">
        <f>SUMIF(F10:F18,"Telefonia",I10:J18)</f>
        <v>340</v>
      </c>
      <c r="Q14" s="131"/>
    </row>
    <row r="15" spans="1:21" ht="15.9" customHeight="1" x14ac:dyDescent="0.3">
      <c r="B15" s="98">
        <v>2020</v>
      </c>
      <c r="C15" s="148" t="str">
        <f>IF(B15&lt;&gt;"",VLOOKUP(B15,PEDIDOS!$B$9:$E$34,2,FALSE),"")</f>
        <v>Vivo Chip Avulso DDD 11</v>
      </c>
      <c r="D15" s="148"/>
      <c r="E15" s="148"/>
      <c r="F15" s="98" t="str">
        <f>IF(B15&lt;&gt;"",VLOOKUP(B15,PEDIDOS!$B$9:$E$34,4,FALSE),"")</f>
        <v>Telefonia</v>
      </c>
      <c r="G15" s="99">
        <v>6</v>
      </c>
      <c r="H15" s="100">
        <f>IF(B15&lt;&gt;"",VLOOKUP(B15,PEDIDOS!$B$9:$E$34,3,FALSE),"")</f>
        <v>15</v>
      </c>
      <c r="I15" s="147">
        <f t="shared" si="0"/>
        <v>90</v>
      </c>
      <c r="J15" s="147"/>
      <c r="L15" s="134" t="s">
        <v>99</v>
      </c>
      <c r="M15" s="135"/>
      <c r="N15" s="135"/>
      <c r="O15" s="136"/>
      <c r="P15" s="130">
        <f>SUMIF(F10:F18,"Eletrônicos",I10:J18)</f>
        <v>32538</v>
      </c>
      <c r="Q15" s="131"/>
    </row>
    <row r="16" spans="1:21" ht="15.9" customHeight="1" x14ac:dyDescent="0.3">
      <c r="B16" s="98">
        <v>2018</v>
      </c>
      <c r="C16" s="148" t="str">
        <f>IF(B16&lt;&gt;"",VLOOKUP(B16,PEDIDOS!$B$9:$E$34,2,FALSE),"")</f>
        <v>Antena de TV DHTV - Benq</v>
      </c>
      <c r="D16" s="148"/>
      <c r="E16" s="148"/>
      <c r="F16" s="98" t="str">
        <f>IF(B16&lt;&gt;"",VLOOKUP(B16,PEDIDOS!$B$9:$E$34,4,FALSE),"")</f>
        <v>Eletrônicos</v>
      </c>
      <c r="G16" s="99">
        <v>7</v>
      </c>
      <c r="H16" s="100">
        <f>IF(B16&lt;&gt;"",VLOOKUP(B16,PEDIDOS!$B$9:$E$34,3,FALSE),"")</f>
        <v>190</v>
      </c>
      <c r="I16" s="147">
        <f t="shared" si="0"/>
        <v>1330</v>
      </c>
      <c r="J16" s="147"/>
      <c r="L16" s="134" t="s">
        <v>9</v>
      </c>
      <c r="M16" s="135"/>
      <c r="N16" s="135"/>
      <c r="O16" s="136"/>
      <c r="P16" s="132">
        <f>SUMIF(F10:F18,"Informática",G10:G18)</f>
        <v>13</v>
      </c>
      <c r="Q16" s="133"/>
      <c r="R16">
        <f>COUNTIF(F10:F18,"Informática")</f>
        <v>4</v>
      </c>
    </row>
    <row r="17" spans="2:18" ht="15.9" customHeight="1" x14ac:dyDescent="0.3">
      <c r="B17" s="98">
        <v>2014</v>
      </c>
      <c r="C17" s="148" t="str">
        <f>IF(B17&lt;&gt;"",VLOOKUP(B17,PEDIDOS!$B$9:$E$34,2,FALSE),"")</f>
        <v>TV Led 40'' Samsung</v>
      </c>
      <c r="D17" s="148"/>
      <c r="E17" s="148"/>
      <c r="F17" s="98" t="str">
        <f>IF(B17&lt;&gt;"",VLOOKUP(B17,PEDIDOS!$B$9:$E$34,4,FALSE),"")</f>
        <v>Eletrônicos</v>
      </c>
      <c r="G17" s="99">
        <v>8</v>
      </c>
      <c r="H17" s="100">
        <f>IF(B17&lt;&gt;"",VLOOKUP(B17,PEDIDOS!$B$9:$E$34,3,FALSE),"")</f>
        <v>3190</v>
      </c>
      <c r="I17" s="147">
        <f t="shared" si="0"/>
        <v>25520</v>
      </c>
      <c r="J17" s="147"/>
      <c r="L17" s="134" t="s">
        <v>10</v>
      </c>
      <c r="M17" s="135"/>
      <c r="N17" s="135"/>
      <c r="O17" s="136"/>
      <c r="P17" s="132">
        <f>SUMIF(F10:F18,"Telefonia",G10:G18)</f>
        <v>8</v>
      </c>
      <c r="Q17" s="133"/>
      <c r="R17">
        <f>COUNTIF(F10:F18,"Telefonia")</f>
        <v>2</v>
      </c>
    </row>
    <row r="18" spans="2:18" ht="15.9" customHeight="1" thickBot="1" x14ac:dyDescent="0.35">
      <c r="B18" s="98">
        <v>2015</v>
      </c>
      <c r="C18" s="148" t="str">
        <f>IF(B18&lt;&gt;"",VLOOKUP(B18,PEDIDOS!$B$9:$E$34,2,FALSE),"")</f>
        <v>Blu-Ray e DVD Player  - Sony</v>
      </c>
      <c r="D18" s="148"/>
      <c r="E18" s="148"/>
      <c r="F18" s="98" t="str">
        <f>IF(B18&lt;&gt;"",VLOOKUP(B18,PEDIDOS!$B$9:$E$34,4,FALSE),"")</f>
        <v>Eletrônicos</v>
      </c>
      <c r="G18" s="99">
        <v>9</v>
      </c>
      <c r="H18" s="100">
        <f>IF(B18&lt;&gt;"",VLOOKUP(B18,PEDIDOS!$B$9:$E$34,3,FALSE),"")</f>
        <v>632</v>
      </c>
      <c r="I18" s="147">
        <f t="shared" si="0"/>
        <v>5688</v>
      </c>
      <c r="J18" s="147"/>
      <c r="L18" s="137" t="s">
        <v>11</v>
      </c>
      <c r="M18" s="138"/>
      <c r="N18" s="138"/>
      <c r="O18" s="139"/>
      <c r="P18" s="122">
        <f>SUMIF(F10:F18,"Eletrônicos",G10:G18)</f>
        <v>24</v>
      </c>
      <c r="Q18" s="123"/>
      <c r="R18">
        <f>COUNTIF(F10:F18,"Eletrônicos")</f>
        <v>3</v>
      </c>
    </row>
    <row r="19" spans="2:18" ht="10.5" customHeight="1" thickBot="1" x14ac:dyDescent="0.35">
      <c r="B19" s="6"/>
      <c r="C19" s="6"/>
      <c r="D19" s="6"/>
      <c r="E19" s="6"/>
      <c r="F19" s="6"/>
      <c r="G19" s="6"/>
      <c r="H19" s="73"/>
      <c r="I19" s="6"/>
      <c r="J19" s="6"/>
    </row>
    <row r="20" spans="2:18" ht="15.9" customHeight="1" thickBot="1" x14ac:dyDescent="0.35">
      <c r="B20" s="156"/>
      <c r="C20" s="157"/>
      <c r="D20" s="157"/>
      <c r="E20" s="11"/>
      <c r="F20" s="91" t="s">
        <v>5</v>
      </c>
      <c r="G20" s="92"/>
      <c r="H20" s="162">
        <f>SUM(I10:J18)</f>
        <v>42275</v>
      </c>
      <c r="I20" s="163"/>
      <c r="J20" s="164"/>
      <c r="L20" s="167" t="s">
        <v>92</v>
      </c>
      <c r="M20" s="168"/>
      <c r="N20" s="168"/>
      <c r="O20" s="169"/>
    </row>
    <row r="21" spans="2:18" ht="15.9" customHeight="1" x14ac:dyDescent="0.3">
      <c r="B21" s="158"/>
      <c r="C21" s="159"/>
      <c r="D21" s="159"/>
      <c r="E21" s="12"/>
      <c r="F21" s="93" t="s">
        <v>4</v>
      </c>
      <c r="G21" s="94"/>
      <c r="H21" s="9"/>
      <c r="I21" s="8"/>
      <c r="J21" s="10"/>
      <c r="L21" s="60" t="s">
        <v>93</v>
      </c>
      <c r="M21" s="61"/>
      <c r="N21" s="172" t="s">
        <v>112</v>
      </c>
      <c r="O21" s="173"/>
    </row>
    <row r="22" spans="2:18" ht="15.9" customHeight="1" x14ac:dyDescent="0.3">
      <c r="B22" s="158"/>
      <c r="C22" s="159"/>
      <c r="D22" s="159"/>
      <c r="E22" s="12"/>
      <c r="F22" s="93" t="s">
        <v>6</v>
      </c>
      <c r="G22" s="94"/>
      <c r="H22" s="149">
        <f>IF(A1=1,H20*20%,IF(A1=4,H20*5%,"Sem Desconto"))</f>
        <v>8455</v>
      </c>
      <c r="I22" s="147"/>
      <c r="J22" s="150"/>
      <c r="L22" s="62" t="s">
        <v>94</v>
      </c>
      <c r="M22" s="63"/>
      <c r="N22" s="151" t="s">
        <v>115</v>
      </c>
      <c r="O22" s="152"/>
    </row>
    <row r="23" spans="2:18" ht="15.9" customHeight="1" x14ac:dyDescent="0.3">
      <c r="B23" s="158"/>
      <c r="C23" s="159"/>
      <c r="D23" s="159"/>
      <c r="E23" s="12"/>
      <c r="F23" s="93" t="s">
        <v>114</v>
      </c>
      <c r="G23" s="94"/>
      <c r="H23" s="149" t="str">
        <f>IF(A1=3,(H20*109.69%)/3,"Não parcelado.")</f>
        <v>Não parcelado.</v>
      </c>
      <c r="I23" s="147"/>
      <c r="J23" s="150"/>
      <c r="L23" s="62" t="s">
        <v>113</v>
      </c>
      <c r="M23" s="63"/>
      <c r="N23" s="151" t="s">
        <v>116</v>
      </c>
      <c r="O23" s="152"/>
    </row>
    <row r="24" spans="2:18" ht="15.9" customHeight="1" thickBot="1" x14ac:dyDescent="0.35">
      <c r="B24" s="160"/>
      <c r="C24" s="161"/>
      <c r="D24" s="161"/>
      <c r="E24" s="13"/>
      <c r="F24" s="95" t="s">
        <v>7</v>
      </c>
      <c r="G24" s="96"/>
      <c r="H24" s="153">
        <f>IF(OR(A1=1,A1=4),H20-H22,IF(A1=3,H23*3,H20*104.75%))</f>
        <v>33820</v>
      </c>
      <c r="I24" s="154"/>
      <c r="J24" s="155"/>
      <c r="L24" s="165" t="s">
        <v>95</v>
      </c>
      <c r="M24" s="166"/>
      <c r="N24" s="170" t="s">
        <v>96</v>
      </c>
      <c r="O24" s="171"/>
    </row>
    <row r="25" spans="2:18" x14ac:dyDescent="0.3">
      <c r="H25" s="121"/>
    </row>
  </sheetData>
  <mergeCells count="57">
    <mergeCell ref="I16:J16"/>
    <mergeCell ref="I12:J12"/>
    <mergeCell ref="I13:J13"/>
    <mergeCell ref="I14:J14"/>
    <mergeCell ref="C13:E13"/>
    <mergeCell ref="C14:E14"/>
    <mergeCell ref="C15:E15"/>
    <mergeCell ref="I15:J15"/>
    <mergeCell ref="C16:E16"/>
    <mergeCell ref="E2:J2"/>
    <mergeCell ref="B4:J4"/>
    <mergeCell ref="C5:J5"/>
    <mergeCell ref="C6:D6"/>
    <mergeCell ref="G6:J6"/>
    <mergeCell ref="E6:F6"/>
    <mergeCell ref="H22:J22"/>
    <mergeCell ref="H23:J23"/>
    <mergeCell ref="N22:O22"/>
    <mergeCell ref="H24:J24"/>
    <mergeCell ref="C17:E17"/>
    <mergeCell ref="I17:J17"/>
    <mergeCell ref="C18:E18"/>
    <mergeCell ref="I18:J18"/>
    <mergeCell ref="B20:D24"/>
    <mergeCell ref="H20:J20"/>
    <mergeCell ref="L24:M24"/>
    <mergeCell ref="L20:O20"/>
    <mergeCell ref="N24:O24"/>
    <mergeCell ref="N23:O23"/>
    <mergeCell ref="N21:O21"/>
    <mergeCell ref="B8:J8"/>
    <mergeCell ref="L10:O10"/>
    <mergeCell ref="L11:O11"/>
    <mergeCell ref="L12:O12"/>
    <mergeCell ref="P10:Q10"/>
    <mergeCell ref="P11:Q11"/>
    <mergeCell ref="C9:E9"/>
    <mergeCell ref="I9:J9"/>
    <mergeCell ref="I10:J10"/>
    <mergeCell ref="I11:J11"/>
    <mergeCell ref="C10:E10"/>
    <mergeCell ref="C11:E11"/>
    <mergeCell ref="C12:E12"/>
    <mergeCell ref="P18:Q18"/>
    <mergeCell ref="L8:Q9"/>
    <mergeCell ref="P12:Q12"/>
    <mergeCell ref="P13:Q13"/>
    <mergeCell ref="P14:Q14"/>
    <mergeCell ref="P15:Q15"/>
    <mergeCell ref="P16:Q16"/>
    <mergeCell ref="P17:Q17"/>
    <mergeCell ref="L13:O13"/>
    <mergeCell ref="L14:O14"/>
    <mergeCell ref="L15:O15"/>
    <mergeCell ref="L16:O16"/>
    <mergeCell ref="L17:O17"/>
    <mergeCell ref="L18:O18"/>
  </mergeCells>
  <dataValidations count="2">
    <dataValidation allowBlank="1" showErrorMessage="1" promptTitle="ATENÇÃO !!!" prompt="ID PRODUTO ENTRE 2000 E 2025." sqref="C10:J18" xr:uid="{00000000-0002-0000-0100-000000000000}"/>
    <dataValidation type="whole" allowBlank="1" showInputMessage="1" showErrorMessage="1" errorTitle="Aviso" error="ID do Produto Inválido!" promptTitle="Atenção" prompt="Tecle ID do Produto entre 2000 e 2025." sqref="B10:B18" xr:uid="{55DE829F-EA76-44B7-B9DD-3B727EB5C746}">
      <formula1>2000</formula1>
      <formula2>2025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Drop Down 5">
              <controlPr defaultSize="0" autoLine="0" autoPict="0">
                <anchor moveWithCells="1">
                  <from>
                    <xdr:col>7</xdr:col>
                    <xdr:colOff>7620</xdr:colOff>
                    <xdr:row>19</xdr:row>
                    <xdr:rowOff>198120</xdr:rowOff>
                  </from>
                  <to>
                    <xdr:col>9</xdr:col>
                    <xdr:colOff>373380</xdr:colOff>
                    <xdr:row>20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B1:J143"/>
  <sheetViews>
    <sheetView showGridLines="0" workbookViewId="0">
      <selection activeCell="B10" sqref="B10"/>
    </sheetView>
  </sheetViews>
  <sheetFormatPr defaultRowHeight="14.4" outlineLevelRow="2" x14ac:dyDescent="0.3"/>
  <cols>
    <col min="1" max="1" width="3.5546875" customWidth="1"/>
    <col min="2" max="2" width="26.88671875" customWidth="1"/>
    <col min="3" max="3" width="18.6640625" customWidth="1"/>
    <col min="4" max="4" width="20" customWidth="1"/>
    <col min="5" max="5" width="3.33203125" customWidth="1"/>
  </cols>
  <sheetData>
    <row r="1" spans="2:10" ht="16.5" customHeight="1" x14ac:dyDescent="0.3"/>
    <row r="2" spans="2:10" x14ac:dyDescent="0.3">
      <c r="F2" s="18" t="s">
        <v>107</v>
      </c>
      <c r="G2" s="18"/>
      <c r="H2" s="18"/>
      <c r="I2" s="18"/>
      <c r="J2" s="18"/>
    </row>
    <row r="3" spans="2:10" x14ac:dyDescent="0.3">
      <c r="F3" s="18" t="s">
        <v>100</v>
      </c>
      <c r="G3" s="18"/>
      <c r="H3" s="18"/>
      <c r="I3" s="18"/>
      <c r="J3" s="18"/>
    </row>
    <row r="6" spans="2:10" x14ac:dyDescent="0.3">
      <c r="C6" s="17"/>
    </row>
    <row r="7" spans="2:10" ht="15" thickBot="1" x14ac:dyDescent="0.35">
      <c r="C7" s="17"/>
      <c r="I7" s="18"/>
    </row>
    <row r="8" spans="2:10" ht="16.2" thickBot="1" x14ac:dyDescent="0.35">
      <c r="B8" s="187" t="s">
        <v>108</v>
      </c>
      <c r="C8" s="188"/>
      <c r="D8" s="189"/>
    </row>
    <row r="9" spans="2:10" ht="9" customHeight="1" thickBot="1" x14ac:dyDescent="0.35">
      <c r="C9" s="17"/>
    </row>
    <row r="10" spans="2:10" ht="15" thickBot="1" x14ac:dyDescent="0.35">
      <c r="B10" s="83" t="s">
        <v>20</v>
      </c>
      <c r="C10" s="84" t="s">
        <v>21</v>
      </c>
      <c r="D10" s="83" t="s">
        <v>38</v>
      </c>
    </row>
    <row r="11" spans="2:10" outlineLevel="2" x14ac:dyDescent="0.3">
      <c r="B11" s="19" t="s">
        <v>22</v>
      </c>
      <c r="C11" s="29">
        <v>34856</v>
      </c>
      <c r="D11" s="20">
        <v>565544</v>
      </c>
      <c r="G11" s="17"/>
    </row>
    <row r="12" spans="2:10" outlineLevel="2" x14ac:dyDescent="0.3">
      <c r="B12" s="19" t="s">
        <v>22</v>
      </c>
      <c r="C12" s="30">
        <v>25221</v>
      </c>
      <c r="D12" s="21">
        <v>45214</v>
      </c>
      <c r="G12" s="17"/>
    </row>
    <row r="13" spans="2:10" outlineLevel="2" x14ac:dyDescent="0.3">
      <c r="B13" s="19" t="s">
        <v>22</v>
      </c>
      <c r="C13" s="30">
        <v>9857</v>
      </c>
      <c r="D13" s="21">
        <v>225663</v>
      </c>
      <c r="G13" s="17"/>
    </row>
    <row r="14" spans="2:10" outlineLevel="2" x14ac:dyDescent="0.3">
      <c r="B14" s="19" t="s">
        <v>22</v>
      </c>
      <c r="C14" s="30">
        <v>22336</v>
      </c>
      <c r="D14" s="21">
        <v>253654</v>
      </c>
      <c r="G14" s="17"/>
    </row>
    <row r="15" spans="2:10" outlineLevel="2" x14ac:dyDescent="0.3">
      <c r="B15" s="19" t="s">
        <v>22</v>
      </c>
      <c r="C15" s="30">
        <v>9587</v>
      </c>
      <c r="D15" s="21">
        <v>896542</v>
      </c>
      <c r="G15" s="17"/>
    </row>
    <row r="16" spans="2:10" outlineLevel="1" x14ac:dyDescent="0.3">
      <c r="B16" s="113" t="s">
        <v>129</v>
      </c>
      <c r="C16" s="30">
        <f>SUBTOTAL(9,C11:C15)</f>
        <v>101857</v>
      </c>
      <c r="D16" s="21"/>
      <c r="G16" s="17"/>
    </row>
    <row r="17" spans="2:4" outlineLevel="2" x14ac:dyDescent="0.3">
      <c r="B17" s="22" t="s">
        <v>23</v>
      </c>
      <c r="C17" s="31">
        <v>9852</v>
      </c>
      <c r="D17" s="23">
        <v>12544</v>
      </c>
    </row>
    <row r="18" spans="2:4" outlineLevel="2" x14ac:dyDescent="0.3">
      <c r="B18" s="22" t="s">
        <v>23</v>
      </c>
      <c r="C18" s="31">
        <v>11125</v>
      </c>
      <c r="D18" s="23">
        <v>25413</v>
      </c>
    </row>
    <row r="19" spans="2:4" outlineLevel="2" x14ac:dyDescent="0.3">
      <c r="B19" s="22" t="s">
        <v>23</v>
      </c>
      <c r="C19" s="30">
        <v>32556</v>
      </c>
      <c r="D19" s="21">
        <v>44474</v>
      </c>
    </row>
    <row r="20" spans="2:4" outlineLevel="2" x14ac:dyDescent="0.3">
      <c r="B20" s="22" t="s">
        <v>23</v>
      </c>
      <c r="C20" s="30">
        <v>45201</v>
      </c>
      <c r="D20" s="21">
        <v>142122</v>
      </c>
    </row>
    <row r="21" spans="2:4" outlineLevel="2" x14ac:dyDescent="0.3">
      <c r="B21" s="22" t="s">
        <v>23</v>
      </c>
      <c r="C21" s="30">
        <v>36982</v>
      </c>
      <c r="D21" s="21">
        <v>112253</v>
      </c>
    </row>
    <row r="22" spans="2:4" outlineLevel="2" x14ac:dyDescent="0.3">
      <c r="B22" s="22" t="s">
        <v>23</v>
      </c>
      <c r="C22" s="30">
        <v>41145</v>
      </c>
      <c r="D22" s="21">
        <v>121217</v>
      </c>
    </row>
    <row r="23" spans="2:4" outlineLevel="2" x14ac:dyDescent="0.3">
      <c r="B23" s="22" t="s">
        <v>23</v>
      </c>
      <c r="C23" s="30">
        <v>56632</v>
      </c>
      <c r="D23" s="21">
        <v>655554</v>
      </c>
    </row>
    <row r="24" spans="2:4" outlineLevel="2" x14ac:dyDescent="0.3">
      <c r="B24" s="22" t="s">
        <v>23</v>
      </c>
      <c r="C24" s="30">
        <v>41212</v>
      </c>
      <c r="D24" s="21">
        <v>561221</v>
      </c>
    </row>
    <row r="25" spans="2:4" outlineLevel="1" x14ac:dyDescent="0.3">
      <c r="B25" s="114" t="s">
        <v>130</v>
      </c>
      <c r="C25" s="30">
        <f>SUBTOTAL(9,C17:C24)</f>
        <v>274705</v>
      </c>
      <c r="D25" s="21"/>
    </row>
    <row r="26" spans="2:4" outlineLevel="2" x14ac:dyDescent="0.3">
      <c r="B26" s="24" t="s">
        <v>24</v>
      </c>
      <c r="C26" s="30">
        <v>19857</v>
      </c>
      <c r="D26" s="21">
        <v>121112</v>
      </c>
    </row>
    <row r="27" spans="2:4" outlineLevel="2" x14ac:dyDescent="0.3">
      <c r="B27" s="24" t="s">
        <v>24</v>
      </c>
      <c r="C27" s="30">
        <v>11741</v>
      </c>
      <c r="D27" s="21">
        <v>554112</v>
      </c>
    </row>
    <row r="28" spans="2:4" outlineLevel="2" x14ac:dyDescent="0.3">
      <c r="B28" s="24" t="s">
        <v>24</v>
      </c>
      <c r="C28" s="30">
        <v>22123</v>
      </c>
      <c r="D28" s="21">
        <v>185477</v>
      </c>
    </row>
    <row r="29" spans="2:4" outlineLevel="2" x14ac:dyDescent="0.3">
      <c r="B29" s="24" t="s">
        <v>24</v>
      </c>
      <c r="C29" s="30">
        <v>12365</v>
      </c>
      <c r="D29" s="21">
        <v>211456</v>
      </c>
    </row>
    <row r="30" spans="2:4" outlineLevel="2" x14ac:dyDescent="0.3">
      <c r="B30" s="24" t="s">
        <v>24</v>
      </c>
      <c r="C30" s="30">
        <v>6442</v>
      </c>
      <c r="D30" s="21">
        <v>121221</v>
      </c>
    </row>
    <row r="31" spans="2:4" outlineLevel="2" x14ac:dyDescent="0.3">
      <c r="B31" s="24" t="s">
        <v>24</v>
      </c>
      <c r="C31" s="30">
        <v>36985</v>
      </c>
      <c r="D31" s="21">
        <v>653222</v>
      </c>
    </row>
    <row r="32" spans="2:4" outlineLevel="1" x14ac:dyDescent="0.3">
      <c r="B32" s="115" t="s">
        <v>131</v>
      </c>
      <c r="C32" s="30">
        <f>SUBTOTAL(9,C26:C31)</f>
        <v>109513</v>
      </c>
      <c r="D32" s="21"/>
    </row>
    <row r="33" spans="2:4" outlineLevel="2" x14ac:dyDescent="0.3">
      <c r="B33" s="24" t="s">
        <v>25</v>
      </c>
      <c r="C33" s="30">
        <v>1256</v>
      </c>
      <c r="D33" s="21">
        <v>363512</v>
      </c>
    </row>
    <row r="34" spans="2:4" outlineLevel="2" x14ac:dyDescent="0.3">
      <c r="B34" s="24" t="s">
        <v>25</v>
      </c>
      <c r="C34" s="30">
        <v>985</v>
      </c>
      <c r="D34" s="21">
        <v>633221</v>
      </c>
    </row>
    <row r="35" spans="2:4" outlineLevel="2" x14ac:dyDescent="0.3">
      <c r="B35" s="24" t="s">
        <v>25</v>
      </c>
      <c r="C35" s="30">
        <v>46654.22</v>
      </c>
      <c r="D35" s="21">
        <v>545445</v>
      </c>
    </row>
    <row r="36" spans="2:4" outlineLevel="2" x14ac:dyDescent="0.3">
      <c r="B36" s="24" t="s">
        <v>25</v>
      </c>
      <c r="C36" s="30">
        <v>47242.16</v>
      </c>
      <c r="D36" s="21">
        <v>144587</v>
      </c>
    </row>
    <row r="37" spans="2:4" outlineLevel="2" x14ac:dyDescent="0.3">
      <c r="B37" s="24" t="s">
        <v>25</v>
      </c>
      <c r="C37" s="30">
        <v>47885.47</v>
      </c>
      <c r="D37" s="21">
        <v>152214</v>
      </c>
    </row>
    <row r="38" spans="2:4" outlineLevel="2" x14ac:dyDescent="0.3">
      <c r="B38" s="24" t="s">
        <v>25</v>
      </c>
      <c r="C38" s="30">
        <v>48420.45</v>
      </c>
      <c r="D38" s="21">
        <v>155634</v>
      </c>
    </row>
    <row r="39" spans="2:4" outlineLevel="1" x14ac:dyDescent="0.3">
      <c r="B39" s="115" t="s">
        <v>132</v>
      </c>
      <c r="C39" s="30">
        <f>SUBTOTAL(9,C33:C38)</f>
        <v>192443.3</v>
      </c>
      <c r="D39" s="21"/>
    </row>
    <row r="40" spans="2:4" outlineLevel="2" x14ac:dyDescent="0.3">
      <c r="B40" s="24" t="s">
        <v>26</v>
      </c>
      <c r="C40" s="30">
        <v>11232</v>
      </c>
      <c r="D40" s="21">
        <v>212211</v>
      </c>
    </row>
    <row r="41" spans="2:4" outlineLevel="2" x14ac:dyDescent="0.3">
      <c r="B41" s="24" t="s">
        <v>26</v>
      </c>
      <c r="C41" s="30">
        <v>15254</v>
      </c>
      <c r="D41" s="21">
        <v>985589</v>
      </c>
    </row>
    <row r="42" spans="2:4" outlineLevel="2" x14ac:dyDescent="0.3">
      <c r="B42" s="24" t="s">
        <v>26</v>
      </c>
      <c r="C42" s="30">
        <v>89954</v>
      </c>
      <c r="D42" s="21">
        <v>774444</v>
      </c>
    </row>
    <row r="43" spans="2:4" outlineLevel="2" x14ac:dyDescent="0.3">
      <c r="B43" s="24" t="s">
        <v>26</v>
      </c>
      <c r="C43" s="30">
        <v>78564</v>
      </c>
      <c r="D43" s="21">
        <v>985574</v>
      </c>
    </row>
    <row r="44" spans="2:4" outlineLevel="2" x14ac:dyDescent="0.3">
      <c r="B44" s="24" t="s">
        <v>26</v>
      </c>
      <c r="C44" s="30">
        <v>48963</v>
      </c>
      <c r="D44" s="25">
        <v>896523</v>
      </c>
    </row>
    <row r="45" spans="2:4" outlineLevel="2" x14ac:dyDescent="0.3">
      <c r="B45" s="24" t="s">
        <v>26</v>
      </c>
      <c r="C45" s="30">
        <v>6554</v>
      </c>
      <c r="D45" s="21">
        <v>554121</v>
      </c>
    </row>
    <row r="46" spans="2:4" outlineLevel="2" x14ac:dyDescent="0.3">
      <c r="B46" s="24" t="s">
        <v>26</v>
      </c>
      <c r="C46" s="30">
        <v>2245</v>
      </c>
      <c r="D46" s="21">
        <v>541223</v>
      </c>
    </row>
    <row r="47" spans="2:4" outlineLevel="2" x14ac:dyDescent="0.3">
      <c r="B47" s="24" t="s">
        <v>26</v>
      </c>
      <c r="C47" s="30">
        <v>6552</v>
      </c>
      <c r="D47" s="21">
        <v>411522</v>
      </c>
    </row>
    <row r="48" spans="2:4" outlineLevel="1" x14ac:dyDescent="0.3">
      <c r="B48" s="115" t="s">
        <v>133</v>
      </c>
      <c r="C48" s="30">
        <f>SUBTOTAL(9,C40:C47)</f>
        <v>259318</v>
      </c>
      <c r="D48" s="21"/>
    </row>
    <row r="49" spans="2:4" outlineLevel="2" x14ac:dyDescent="0.3">
      <c r="B49" s="24" t="s">
        <v>27</v>
      </c>
      <c r="C49" s="30">
        <v>2256</v>
      </c>
      <c r="D49" s="21">
        <v>411223</v>
      </c>
    </row>
    <row r="50" spans="2:4" outlineLevel="2" x14ac:dyDescent="0.3">
      <c r="B50" s="24" t="s">
        <v>27</v>
      </c>
      <c r="C50" s="30">
        <v>9874</v>
      </c>
      <c r="D50" s="21">
        <v>411244</v>
      </c>
    </row>
    <row r="51" spans="2:4" outlineLevel="2" x14ac:dyDescent="0.3">
      <c r="B51" s="24" t="s">
        <v>27</v>
      </c>
      <c r="C51" s="30">
        <v>5555</v>
      </c>
      <c r="D51" s="21">
        <v>221412</v>
      </c>
    </row>
    <row r="52" spans="2:4" outlineLevel="2" x14ac:dyDescent="0.3">
      <c r="B52" s="24" t="s">
        <v>27</v>
      </c>
      <c r="C52" s="31">
        <v>22251</v>
      </c>
      <c r="D52" s="23">
        <v>21555</v>
      </c>
    </row>
    <row r="53" spans="2:4" outlineLevel="2" x14ac:dyDescent="0.3">
      <c r="B53" s="24" t="s">
        <v>27</v>
      </c>
      <c r="C53" s="31">
        <v>19852</v>
      </c>
      <c r="D53" s="23">
        <v>15452</v>
      </c>
    </row>
    <row r="54" spans="2:4" outlineLevel="2" x14ac:dyDescent="0.3">
      <c r="B54" s="24" t="s">
        <v>27</v>
      </c>
      <c r="C54" s="31">
        <v>48963</v>
      </c>
      <c r="D54" s="23">
        <v>256314</v>
      </c>
    </row>
    <row r="55" spans="2:4" outlineLevel="2" x14ac:dyDescent="0.3">
      <c r="B55" s="24" t="s">
        <v>27</v>
      </c>
      <c r="C55" s="30">
        <v>14411</v>
      </c>
      <c r="D55" s="21">
        <v>115474</v>
      </c>
    </row>
    <row r="56" spans="2:4" outlineLevel="1" x14ac:dyDescent="0.3">
      <c r="B56" s="115" t="s">
        <v>134</v>
      </c>
      <c r="C56" s="30">
        <f>SUBTOTAL(9,C49:C55)</f>
        <v>123162</v>
      </c>
      <c r="D56" s="21"/>
    </row>
    <row r="57" spans="2:4" outlineLevel="2" x14ac:dyDescent="0.3">
      <c r="B57" s="24" t="s">
        <v>28</v>
      </c>
      <c r="C57" s="30">
        <v>142987</v>
      </c>
      <c r="D57" s="21">
        <v>114212</v>
      </c>
    </row>
    <row r="58" spans="2:4" outlineLevel="2" x14ac:dyDescent="0.3">
      <c r="B58" s="24" t="s">
        <v>28</v>
      </c>
      <c r="C58" s="30">
        <v>52698</v>
      </c>
      <c r="D58" s="21">
        <v>256332</v>
      </c>
    </row>
    <row r="59" spans="2:4" outlineLevel="2" x14ac:dyDescent="0.3">
      <c r="B59" s="24" t="s">
        <v>28</v>
      </c>
      <c r="C59" s="30">
        <v>45678</v>
      </c>
      <c r="D59" s="21">
        <v>215211</v>
      </c>
    </row>
    <row r="60" spans="2:4" outlineLevel="2" x14ac:dyDescent="0.3">
      <c r="B60" s="24" t="s">
        <v>28</v>
      </c>
      <c r="C60" s="30">
        <v>12526</v>
      </c>
      <c r="D60" s="21">
        <v>225148</v>
      </c>
    </row>
    <row r="61" spans="2:4" outlineLevel="2" x14ac:dyDescent="0.3">
      <c r="B61" s="24" t="s">
        <v>28</v>
      </c>
      <c r="C61" s="30">
        <v>23456</v>
      </c>
      <c r="D61" s="21">
        <v>256984</v>
      </c>
    </row>
    <row r="62" spans="2:4" outlineLevel="1" x14ac:dyDescent="0.3">
      <c r="B62" s="115" t="s">
        <v>135</v>
      </c>
      <c r="C62" s="30">
        <f>SUBTOTAL(9,C57:C61)</f>
        <v>277345</v>
      </c>
      <c r="D62" s="21"/>
    </row>
    <row r="63" spans="2:4" outlineLevel="2" x14ac:dyDescent="0.3">
      <c r="B63" s="24" t="s">
        <v>29</v>
      </c>
      <c r="C63" s="30">
        <v>97654</v>
      </c>
      <c r="D63" s="21">
        <v>112154</v>
      </c>
    </row>
    <row r="64" spans="2:4" outlineLevel="2" x14ac:dyDescent="0.3">
      <c r="B64" s="24" t="s">
        <v>29</v>
      </c>
      <c r="C64" s="30">
        <v>56789</v>
      </c>
      <c r="D64" s="21">
        <v>248963</v>
      </c>
    </row>
    <row r="65" spans="2:4" outlineLevel="2" x14ac:dyDescent="0.3">
      <c r="B65" s="24" t="s">
        <v>29</v>
      </c>
      <c r="C65" s="30">
        <v>36987</v>
      </c>
      <c r="D65" s="21">
        <v>256489</v>
      </c>
    </row>
    <row r="66" spans="2:4" outlineLevel="2" x14ac:dyDescent="0.3">
      <c r="B66" s="24" t="s">
        <v>29</v>
      </c>
      <c r="C66" s="30">
        <v>123456</v>
      </c>
      <c r="D66" s="21">
        <v>122536</v>
      </c>
    </row>
    <row r="67" spans="2:4" outlineLevel="2" x14ac:dyDescent="0.3">
      <c r="B67" s="24" t="s">
        <v>29</v>
      </c>
      <c r="C67" s="30">
        <v>25859</v>
      </c>
      <c r="D67" s="21">
        <v>568854</v>
      </c>
    </row>
    <row r="68" spans="2:4" outlineLevel="2" x14ac:dyDescent="0.3">
      <c r="B68" s="24" t="s">
        <v>29</v>
      </c>
      <c r="C68" s="30">
        <v>17896</v>
      </c>
      <c r="D68" s="21">
        <v>556352</v>
      </c>
    </row>
    <row r="69" spans="2:4" outlineLevel="2" x14ac:dyDescent="0.3">
      <c r="B69" s="24" t="s">
        <v>29</v>
      </c>
      <c r="C69" s="30">
        <v>49076</v>
      </c>
      <c r="D69" s="21">
        <v>552854</v>
      </c>
    </row>
    <row r="70" spans="2:4" outlineLevel="2" x14ac:dyDescent="0.3">
      <c r="B70" s="24" t="s">
        <v>29</v>
      </c>
      <c r="C70" s="30">
        <v>28965</v>
      </c>
      <c r="D70" s="21">
        <v>122525</v>
      </c>
    </row>
    <row r="71" spans="2:4" outlineLevel="2" x14ac:dyDescent="0.3">
      <c r="B71" s="24" t="s">
        <v>29</v>
      </c>
      <c r="C71" s="30">
        <v>36985</v>
      </c>
      <c r="D71" s="21">
        <v>241221</v>
      </c>
    </row>
    <row r="72" spans="2:4" outlineLevel="1" x14ac:dyDescent="0.3">
      <c r="B72" s="115" t="s">
        <v>136</v>
      </c>
      <c r="C72" s="30">
        <f>SUBTOTAL(9,C63:C71)</f>
        <v>473667</v>
      </c>
      <c r="D72" s="21"/>
    </row>
    <row r="73" spans="2:4" outlineLevel="2" x14ac:dyDescent="0.3">
      <c r="B73" s="24" t="s">
        <v>30</v>
      </c>
      <c r="C73" s="30">
        <v>45632</v>
      </c>
      <c r="D73" s="21">
        <v>656254</v>
      </c>
    </row>
    <row r="74" spans="2:4" outlineLevel="2" x14ac:dyDescent="0.3">
      <c r="B74" s="24" t="s">
        <v>30</v>
      </c>
      <c r="C74" s="30">
        <v>24896</v>
      </c>
      <c r="D74" s="21">
        <v>654101</v>
      </c>
    </row>
    <row r="75" spans="2:4" outlineLevel="2" x14ac:dyDescent="0.3">
      <c r="B75" s="24" t="s">
        <v>30</v>
      </c>
      <c r="C75" s="30">
        <v>17596</v>
      </c>
      <c r="D75" s="21">
        <v>556652</v>
      </c>
    </row>
    <row r="76" spans="2:4" outlineLevel="2" x14ac:dyDescent="0.3">
      <c r="B76" s="24" t="s">
        <v>30</v>
      </c>
      <c r="C76" s="30">
        <v>5698</v>
      </c>
      <c r="D76" s="21">
        <v>454541</v>
      </c>
    </row>
    <row r="77" spans="2:4" outlineLevel="2" x14ac:dyDescent="0.3">
      <c r="B77" s="24" t="s">
        <v>30</v>
      </c>
      <c r="C77" s="30">
        <v>9865</v>
      </c>
      <c r="D77" s="21">
        <v>322221</v>
      </c>
    </row>
    <row r="78" spans="2:4" outlineLevel="2" x14ac:dyDescent="0.3">
      <c r="B78" s="24" t="s">
        <v>30</v>
      </c>
      <c r="C78" s="30">
        <v>12365</v>
      </c>
      <c r="D78" s="21">
        <v>256544</v>
      </c>
    </row>
    <row r="79" spans="2:4" outlineLevel="2" x14ac:dyDescent="0.3">
      <c r="B79" s="24" t="s">
        <v>30</v>
      </c>
      <c r="C79" s="30">
        <v>12124</v>
      </c>
      <c r="D79" s="21">
        <v>561121</v>
      </c>
    </row>
    <row r="80" spans="2:4" outlineLevel="2" x14ac:dyDescent="0.3">
      <c r="B80" s="24" t="s">
        <v>30</v>
      </c>
      <c r="C80" s="30">
        <v>18965</v>
      </c>
      <c r="D80" s="21">
        <v>574544</v>
      </c>
    </row>
    <row r="81" spans="2:6" outlineLevel="2" x14ac:dyDescent="0.3">
      <c r="B81" s="24" t="s">
        <v>30</v>
      </c>
      <c r="C81" s="30">
        <v>21145</v>
      </c>
      <c r="D81" s="21">
        <v>157445</v>
      </c>
    </row>
    <row r="82" spans="2:6" outlineLevel="1" x14ac:dyDescent="0.3">
      <c r="B82" s="115" t="s">
        <v>137</v>
      </c>
      <c r="C82" s="30">
        <f>SUBTOTAL(9,C73:C81)</f>
        <v>168286</v>
      </c>
      <c r="D82" s="21"/>
    </row>
    <row r="83" spans="2:6" outlineLevel="2" x14ac:dyDescent="0.3">
      <c r="B83" s="24" t="s">
        <v>31</v>
      </c>
      <c r="C83" s="30">
        <v>14545</v>
      </c>
      <c r="D83" s="21">
        <v>111522</v>
      </c>
    </row>
    <row r="84" spans="2:6" outlineLevel="2" x14ac:dyDescent="0.3">
      <c r="B84" s="24" t="s">
        <v>31</v>
      </c>
      <c r="C84" s="30">
        <v>12566</v>
      </c>
      <c r="D84" s="21">
        <v>112235</v>
      </c>
    </row>
    <row r="85" spans="2:6" outlineLevel="2" x14ac:dyDescent="0.3">
      <c r="B85" s="24" t="s">
        <v>31</v>
      </c>
      <c r="C85" s="30">
        <v>17854</v>
      </c>
      <c r="D85" s="21">
        <v>211142</v>
      </c>
      <c r="F85" s="26"/>
    </row>
    <row r="86" spans="2:6" outlineLevel="2" x14ac:dyDescent="0.3">
      <c r="B86" s="24" t="s">
        <v>31</v>
      </c>
      <c r="C86" s="30">
        <v>19325</v>
      </c>
      <c r="D86" s="21">
        <v>211331</v>
      </c>
    </row>
    <row r="87" spans="2:6" outlineLevel="2" x14ac:dyDescent="0.3">
      <c r="B87" s="24" t="s">
        <v>31</v>
      </c>
      <c r="C87" s="30">
        <v>16544</v>
      </c>
      <c r="D87" s="21">
        <v>654122</v>
      </c>
    </row>
    <row r="88" spans="2:6" outlineLevel="2" x14ac:dyDescent="0.3">
      <c r="B88" s="24" t="s">
        <v>31</v>
      </c>
      <c r="C88" s="30">
        <v>25632</v>
      </c>
      <c r="D88" s="21">
        <v>565213</v>
      </c>
    </row>
    <row r="89" spans="2:6" outlineLevel="1" x14ac:dyDescent="0.3">
      <c r="B89" s="115" t="s">
        <v>138</v>
      </c>
      <c r="C89" s="30">
        <f>SUBTOTAL(9,C83:C88)</f>
        <v>106466</v>
      </c>
      <c r="D89" s="21"/>
    </row>
    <row r="90" spans="2:6" outlineLevel="2" x14ac:dyDescent="0.3">
      <c r="B90" s="24" t="s">
        <v>32</v>
      </c>
      <c r="C90" s="30">
        <v>14567</v>
      </c>
      <c r="D90" s="21">
        <v>263589</v>
      </c>
    </row>
    <row r="91" spans="2:6" outlineLevel="2" x14ac:dyDescent="0.3">
      <c r="B91" s="24" t="s">
        <v>32</v>
      </c>
      <c r="C91" s="30">
        <v>38763</v>
      </c>
      <c r="D91" s="21">
        <v>126655</v>
      </c>
    </row>
    <row r="92" spans="2:6" outlineLevel="2" x14ac:dyDescent="0.3">
      <c r="B92" s="24" t="s">
        <v>32</v>
      </c>
      <c r="C92" s="30">
        <v>14552</v>
      </c>
      <c r="D92" s="25">
        <v>122636</v>
      </c>
    </row>
    <row r="93" spans="2:6" outlineLevel="2" x14ac:dyDescent="0.3">
      <c r="B93" s="24" t="s">
        <v>32</v>
      </c>
      <c r="C93" s="30">
        <v>34567</v>
      </c>
      <c r="D93" s="25">
        <v>156636</v>
      </c>
    </row>
    <row r="94" spans="2:6" outlineLevel="2" x14ac:dyDescent="0.3">
      <c r="B94" s="24" t="s">
        <v>32</v>
      </c>
      <c r="C94" s="30">
        <v>76889</v>
      </c>
      <c r="D94" s="21">
        <v>141252</v>
      </c>
    </row>
    <row r="95" spans="2:6" outlineLevel="2" x14ac:dyDescent="0.3">
      <c r="B95" s="24" t="s">
        <v>32</v>
      </c>
      <c r="C95" s="30">
        <v>34324</v>
      </c>
      <c r="D95" s="21">
        <v>225412</v>
      </c>
    </row>
    <row r="96" spans="2:6" outlineLevel="2" x14ac:dyDescent="0.3">
      <c r="B96" s="24" t="s">
        <v>32</v>
      </c>
      <c r="C96" s="30">
        <v>19976</v>
      </c>
      <c r="D96" s="21">
        <v>365212</v>
      </c>
    </row>
    <row r="97" spans="2:4" outlineLevel="1" x14ac:dyDescent="0.3">
      <c r="B97" s="115" t="s">
        <v>139</v>
      </c>
      <c r="C97" s="30">
        <f>SUBTOTAL(9,C90:C96)</f>
        <v>233638</v>
      </c>
      <c r="D97" s="21"/>
    </row>
    <row r="98" spans="2:4" outlineLevel="2" x14ac:dyDescent="0.3">
      <c r="B98" s="24" t="s">
        <v>33</v>
      </c>
      <c r="C98" s="30">
        <v>115567</v>
      </c>
      <c r="D98" s="21">
        <v>114522</v>
      </c>
    </row>
    <row r="99" spans="2:4" outlineLevel="2" x14ac:dyDescent="0.3">
      <c r="B99" s="24" t="s">
        <v>33</v>
      </c>
      <c r="C99" s="30">
        <v>98756</v>
      </c>
      <c r="D99" s="21">
        <v>655654</v>
      </c>
    </row>
    <row r="100" spans="2:4" outlineLevel="2" x14ac:dyDescent="0.3">
      <c r="B100" s="24" t="s">
        <v>33</v>
      </c>
      <c r="C100" s="30">
        <v>56789</v>
      </c>
      <c r="D100" s="21">
        <v>112554</v>
      </c>
    </row>
    <row r="101" spans="2:4" outlineLevel="2" x14ac:dyDescent="0.3">
      <c r="B101" s="24" t="s">
        <v>33</v>
      </c>
      <c r="C101" s="30">
        <v>65456</v>
      </c>
      <c r="D101" s="21">
        <v>663541</v>
      </c>
    </row>
    <row r="102" spans="2:4" outlineLevel="2" x14ac:dyDescent="0.3">
      <c r="B102" s="24" t="s">
        <v>33</v>
      </c>
      <c r="C102" s="30">
        <v>36789</v>
      </c>
      <c r="D102" s="21">
        <v>211122</v>
      </c>
    </row>
    <row r="103" spans="2:4" outlineLevel="2" x14ac:dyDescent="0.3">
      <c r="B103" s="24" t="s">
        <v>33</v>
      </c>
      <c r="C103" s="30">
        <v>65467</v>
      </c>
      <c r="D103" s="21">
        <v>226541</v>
      </c>
    </row>
    <row r="104" spans="2:4" outlineLevel="2" x14ac:dyDescent="0.3">
      <c r="B104" s="24" t="s">
        <v>33</v>
      </c>
      <c r="C104" s="30">
        <v>23456</v>
      </c>
      <c r="D104" s="21">
        <v>541141</v>
      </c>
    </row>
    <row r="105" spans="2:4" outlineLevel="2" x14ac:dyDescent="0.3">
      <c r="B105" s="24" t="s">
        <v>33</v>
      </c>
      <c r="C105" s="30">
        <v>54322</v>
      </c>
      <c r="D105" s="21">
        <v>522151</v>
      </c>
    </row>
    <row r="106" spans="2:4" outlineLevel="1" x14ac:dyDescent="0.3">
      <c r="B106" s="115" t="s">
        <v>140</v>
      </c>
      <c r="C106" s="30">
        <f>SUBTOTAL(9,C98:C105)</f>
        <v>516602</v>
      </c>
      <c r="D106" s="21"/>
    </row>
    <row r="107" spans="2:4" outlineLevel="2" x14ac:dyDescent="0.3">
      <c r="B107" s="24" t="s">
        <v>34</v>
      </c>
      <c r="C107" s="30">
        <v>14585</v>
      </c>
      <c r="D107" s="25">
        <v>511152</v>
      </c>
    </row>
    <row r="108" spans="2:4" outlineLevel="2" x14ac:dyDescent="0.3">
      <c r="B108" s="24" t="s">
        <v>34</v>
      </c>
      <c r="C108" s="30">
        <v>9876</v>
      </c>
      <c r="D108" s="25">
        <v>656252</v>
      </c>
    </row>
    <row r="109" spans="2:4" outlineLevel="2" x14ac:dyDescent="0.3">
      <c r="B109" s="24" t="s">
        <v>34</v>
      </c>
      <c r="C109" s="30">
        <v>6754</v>
      </c>
      <c r="D109" s="25">
        <v>422112</v>
      </c>
    </row>
    <row r="110" spans="2:4" outlineLevel="2" x14ac:dyDescent="0.3">
      <c r="B110" s="24" t="s">
        <v>34</v>
      </c>
      <c r="C110" s="30">
        <v>3456</v>
      </c>
      <c r="D110" s="21">
        <v>212221</v>
      </c>
    </row>
    <row r="111" spans="2:4" outlineLevel="1" x14ac:dyDescent="0.3">
      <c r="B111" s="115" t="s">
        <v>141</v>
      </c>
      <c r="C111" s="30">
        <f>SUBTOTAL(9,C107:C110)</f>
        <v>34671</v>
      </c>
      <c r="D111" s="21"/>
    </row>
    <row r="112" spans="2:4" outlineLevel="2" x14ac:dyDescent="0.3">
      <c r="B112" s="24" t="s">
        <v>39</v>
      </c>
      <c r="C112" s="30">
        <v>45678</v>
      </c>
      <c r="D112" s="21">
        <v>332211</v>
      </c>
    </row>
    <row r="113" spans="2:4" outlineLevel="2" x14ac:dyDescent="0.3">
      <c r="B113" s="24" t="s">
        <v>39</v>
      </c>
      <c r="C113" s="30">
        <v>32456</v>
      </c>
      <c r="D113" s="21">
        <v>445643</v>
      </c>
    </row>
    <row r="114" spans="2:4" outlineLevel="2" x14ac:dyDescent="0.3">
      <c r="B114" s="24" t="s">
        <v>39</v>
      </c>
      <c r="C114" s="30">
        <v>12347</v>
      </c>
      <c r="D114" s="21">
        <v>754455</v>
      </c>
    </row>
    <row r="115" spans="2:4" outlineLevel="2" x14ac:dyDescent="0.3">
      <c r="B115" s="24" t="s">
        <v>39</v>
      </c>
      <c r="C115" s="30">
        <v>97900</v>
      </c>
      <c r="D115" s="21">
        <v>654766</v>
      </c>
    </row>
    <row r="116" spans="2:4" outlineLevel="2" x14ac:dyDescent="0.3">
      <c r="B116" s="24" t="s">
        <v>39</v>
      </c>
      <c r="C116" s="30">
        <v>13456</v>
      </c>
      <c r="D116" s="21">
        <v>768543</v>
      </c>
    </row>
    <row r="117" spans="2:4" outlineLevel="2" x14ac:dyDescent="0.3">
      <c r="B117" s="24" t="s">
        <v>39</v>
      </c>
      <c r="C117" s="30">
        <v>78954</v>
      </c>
      <c r="D117" s="21">
        <v>343456</v>
      </c>
    </row>
    <row r="118" spans="2:4" outlineLevel="1" x14ac:dyDescent="0.3">
      <c r="B118" s="115" t="s">
        <v>142</v>
      </c>
      <c r="C118" s="30">
        <f>SUBTOTAL(9,C112:C117)</f>
        <v>280791</v>
      </c>
      <c r="D118" s="21"/>
    </row>
    <row r="119" spans="2:4" outlineLevel="2" x14ac:dyDescent="0.3">
      <c r="B119" s="24" t="s">
        <v>35</v>
      </c>
      <c r="C119" s="30">
        <v>16789</v>
      </c>
      <c r="D119" s="21">
        <v>552111</v>
      </c>
    </row>
    <row r="120" spans="2:4" outlineLevel="2" x14ac:dyDescent="0.3">
      <c r="B120" s="24" t="s">
        <v>35</v>
      </c>
      <c r="C120" s="30">
        <v>56789</v>
      </c>
      <c r="D120" s="21">
        <v>256332</v>
      </c>
    </row>
    <row r="121" spans="2:4" outlineLevel="2" x14ac:dyDescent="0.3">
      <c r="B121" s="24" t="s">
        <v>35</v>
      </c>
      <c r="C121" s="30">
        <v>23456</v>
      </c>
      <c r="D121" s="21">
        <v>554232</v>
      </c>
    </row>
    <row r="122" spans="2:4" outlineLevel="2" x14ac:dyDescent="0.3">
      <c r="B122" s="24" t="s">
        <v>35</v>
      </c>
      <c r="C122" s="30">
        <v>65432</v>
      </c>
      <c r="D122" s="21">
        <v>455524</v>
      </c>
    </row>
    <row r="123" spans="2:4" outlineLevel="2" x14ac:dyDescent="0.3">
      <c r="B123" s="24" t="s">
        <v>35</v>
      </c>
      <c r="C123" s="30">
        <v>21234</v>
      </c>
      <c r="D123" s="21">
        <v>556321</v>
      </c>
    </row>
    <row r="124" spans="2:4" outlineLevel="2" x14ac:dyDescent="0.3">
      <c r="B124" s="24" t="s">
        <v>35</v>
      </c>
      <c r="C124" s="30">
        <v>11224</v>
      </c>
      <c r="D124" s="21">
        <v>541255</v>
      </c>
    </row>
    <row r="125" spans="2:4" outlineLevel="1" x14ac:dyDescent="0.3">
      <c r="B125" s="115" t="s">
        <v>143</v>
      </c>
      <c r="C125" s="30">
        <f>SUBTOTAL(9,C119:C124)</f>
        <v>194924</v>
      </c>
      <c r="D125" s="21"/>
    </row>
    <row r="126" spans="2:4" outlineLevel="2" x14ac:dyDescent="0.3">
      <c r="B126" s="24" t="s">
        <v>36</v>
      </c>
      <c r="C126" s="30">
        <v>17525</v>
      </c>
      <c r="D126" s="21">
        <v>526321</v>
      </c>
    </row>
    <row r="127" spans="2:4" outlineLevel="2" x14ac:dyDescent="0.3">
      <c r="B127" s="24" t="s">
        <v>36</v>
      </c>
      <c r="C127" s="30">
        <v>25983</v>
      </c>
      <c r="D127" s="21">
        <v>565121</v>
      </c>
    </row>
    <row r="128" spans="2:4" outlineLevel="2" x14ac:dyDescent="0.3">
      <c r="B128" s="24" t="s">
        <v>36</v>
      </c>
      <c r="C128" s="30">
        <v>56662</v>
      </c>
      <c r="D128" s="21">
        <v>231566</v>
      </c>
    </row>
    <row r="129" spans="2:4" outlineLevel="2" x14ac:dyDescent="0.3">
      <c r="B129" s="24" t="s">
        <v>36</v>
      </c>
      <c r="C129" s="30">
        <v>66523</v>
      </c>
      <c r="D129" s="21">
        <v>366544</v>
      </c>
    </row>
    <row r="130" spans="2:4" outlineLevel="2" x14ac:dyDescent="0.3">
      <c r="B130" s="24" t="s">
        <v>36</v>
      </c>
      <c r="C130" s="30">
        <v>89652</v>
      </c>
      <c r="D130" s="21">
        <v>662354</v>
      </c>
    </row>
    <row r="131" spans="2:4" outlineLevel="2" x14ac:dyDescent="0.3">
      <c r="B131" s="24" t="s">
        <v>36</v>
      </c>
      <c r="C131" s="30">
        <v>23365</v>
      </c>
      <c r="D131" s="21">
        <v>665522</v>
      </c>
    </row>
    <row r="132" spans="2:4" outlineLevel="2" x14ac:dyDescent="0.3">
      <c r="B132" s="24" t="s">
        <v>36</v>
      </c>
      <c r="C132" s="30">
        <v>36985</v>
      </c>
      <c r="D132" s="25">
        <v>668523</v>
      </c>
    </row>
    <row r="133" spans="2:4" outlineLevel="2" x14ac:dyDescent="0.3">
      <c r="B133" s="24" t="s">
        <v>36</v>
      </c>
      <c r="C133" s="30">
        <v>56635</v>
      </c>
      <c r="D133" s="21">
        <v>555441</v>
      </c>
    </row>
    <row r="134" spans="2:4" outlineLevel="1" x14ac:dyDescent="0.3">
      <c r="B134" s="115" t="s">
        <v>144</v>
      </c>
      <c r="C134" s="30">
        <f>SUBTOTAL(9,C126:C133)</f>
        <v>373330</v>
      </c>
      <c r="D134" s="21"/>
    </row>
    <row r="135" spans="2:4" outlineLevel="2" x14ac:dyDescent="0.3">
      <c r="B135" s="24" t="s">
        <v>37</v>
      </c>
      <c r="C135" s="30">
        <v>113456</v>
      </c>
      <c r="D135" s="21">
        <v>122000</v>
      </c>
    </row>
    <row r="136" spans="2:4" outlineLevel="2" x14ac:dyDescent="0.3">
      <c r="B136" s="24" t="s">
        <v>37</v>
      </c>
      <c r="C136" s="30">
        <v>97654</v>
      </c>
      <c r="D136" s="21">
        <v>454545</v>
      </c>
    </row>
    <row r="137" spans="2:4" outlineLevel="2" x14ac:dyDescent="0.3">
      <c r="B137" s="24" t="s">
        <v>37</v>
      </c>
      <c r="C137" s="30">
        <v>22234</v>
      </c>
      <c r="D137" s="21">
        <v>565544</v>
      </c>
    </row>
    <row r="138" spans="2:4" outlineLevel="2" x14ac:dyDescent="0.3">
      <c r="B138" s="24" t="s">
        <v>37</v>
      </c>
      <c r="C138" s="30">
        <v>33456</v>
      </c>
      <c r="D138" s="21">
        <v>556441</v>
      </c>
    </row>
    <row r="139" spans="2:4" outlineLevel="2" x14ac:dyDescent="0.3">
      <c r="B139" s="24" t="s">
        <v>37</v>
      </c>
      <c r="C139" s="30">
        <v>35872</v>
      </c>
      <c r="D139" s="21">
        <v>556544</v>
      </c>
    </row>
    <row r="140" spans="2:4" outlineLevel="2" x14ac:dyDescent="0.3">
      <c r="B140" s="24" t="s">
        <v>37</v>
      </c>
      <c r="C140" s="30">
        <v>25893</v>
      </c>
      <c r="D140" s="21">
        <v>122533</v>
      </c>
    </row>
    <row r="141" spans="2:4" ht="15" outlineLevel="2" thickBot="1" x14ac:dyDescent="0.35">
      <c r="B141" s="27" t="s">
        <v>37</v>
      </c>
      <c r="C141" s="32">
        <v>65891</v>
      </c>
      <c r="D141" s="28">
        <v>125221</v>
      </c>
    </row>
    <row r="142" spans="2:4" outlineLevel="1" x14ac:dyDescent="0.3">
      <c r="B142" s="118" t="s">
        <v>145</v>
      </c>
      <c r="C142" s="116">
        <f>SUBTOTAL(9,C135:C141)</f>
        <v>394456</v>
      </c>
      <c r="D142" s="117"/>
    </row>
    <row r="143" spans="2:4" x14ac:dyDescent="0.3">
      <c r="B143" s="118" t="s">
        <v>146</v>
      </c>
      <c r="C143" s="116">
        <f>SUBTOTAL(9,C11:C141)</f>
        <v>4115174.3</v>
      </c>
      <c r="D143" s="117"/>
    </row>
  </sheetData>
  <mergeCells count="1"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1:N125"/>
  <sheetViews>
    <sheetView showGridLines="0" workbookViewId="0">
      <selection activeCell="J24" sqref="J24"/>
    </sheetView>
  </sheetViews>
  <sheetFormatPr defaultRowHeight="14.4" x14ac:dyDescent="0.3"/>
  <cols>
    <col min="1" max="1" width="3.6640625" customWidth="1"/>
    <col min="2" max="4" width="22" customWidth="1"/>
    <col min="6" max="6" width="25.33203125" customWidth="1"/>
    <col min="7" max="7" width="21.88671875" customWidth="1"/>
  </cols>
  <sheetData>
    <row r="1" spans="2:14" ht="11.25" customHeight="1" x14ac:dyDescent="0.3"/>
    <row r="3" spans="2:14" x14ac:dyDescent="0.3">
      <c r="F3" s="41" t="s">
        <v>127</v>
      </c>
    </row>
    <row r="4" spans="2:14" x14ac:dyDescent="0.3">
      <c r="F4" s="41" t="s">
        <v>106</v>
      </c>
    </row>
    <row r="6" spans="2:14" x14ac:dyDescent="0.3">
      <c r="N6" s="64"/>
    </row>
    <row r="7" spans="2:14" ht="15" thickBot="1" x14ac:dyDescent="0.35"/>
    <row r="8" spans="2:14" ht="16.2" thickBot="1" x14ac:dyDescent="0.35">
      <c r="B8" s="187" t="s">
        <v>109</v>
      </c>
      <c r="C8" s="188"/>
      <c r="D8" s="188"/>
      <c r="F8" s="187" t="s">
        <v>40</v>
      </c>
      <c r="G8" s="189"/>
    </row>
    <row r="9" spans="2:14" ht="8.25" customHeight="1" thickBot="1" x14ac:dyDescent="0.35">
      <c r="G9" s="17"/>
    </row>
    <row r="10" spans="2:14" ht="15" thickBot="1" x14ac:dyDescent="0.35">
      <c r="B10" s="83" t="s">
        <v>20</v>
      </c>
      <c r="C10" s="84" t="s">
        <v>21</v>
      </c>
      <c r="D10" s="83" t="s">
        <v>38</v>
      </c>
      <c r="F10" s="85" t="s">
        <v>20</v>
      </c>
      <c r="G10" s="86" t="s">
        <v>128</v>
      </c>
    </row>
    <row r="11" spans="2:14" x14ac:dyDescent="0.3">
      <c r="B11" s="19" t="s">
        <v>22</v>
      </c>
      <c r="C11" s="29">
        <v>34856</v>
      </c>
      <c r="D11" s="20">
        <v>565544</v>
      </c>
      <c r="F11" s="38" t="s">
        <v>22</v>
      </c>
      <c r="G11" s="33">
        <v>20371.400000000001</v>
      </c>
      <c r="H11" s="87"/>
    </row>
    <row r="12" spans="2:14" x14ac:dyDescent="0.3">
      <c r="B12" s="19" t="s">
        <v>22</v>
      </c>
      <c r="C12" s="30">
        <v>25221</v>
      </c>
      <c r="D12" s="21">
        <v>45214</v>
      </c>
      <c r="F12" s="22" t="s">
        <v>23</v>
      </c>
      <c r="G12" s="34">
        <v>34338.125</v>
      </c>
      <c r="H12" s="87"/>
    </row>
    <row r="13" spans="2:14" x14ac:dyDescent="0.3">
      <c r="B13" s="19" t="s">
        <v>22</v>
      </c>
      <c r="C13" s="30">
        <v>9857</v>
      </c>
      <c r="D13" s="21">
        <v>225663</v>
      </c>
      <c r="F13" s="24" t="s">
        <v>24</v>
      </c>
      <c r="G13" s="34">
        <v>18252.166666666668</v>
      </c>
      <c r="H13" s="87"/>
    </row>
    <row r="14" spans="2:14" x14ac:dyDescent="0.3">
      <c r="B14" s="19" t="s">
        <v>22</v>
      </c>
      <c r="C14" s="30">
        <v>22336</v>
      </c>
      <c r="D14" s="21">
        <v>253654</v>
      </c>
      <c r="F14" s="24" t="s">
        <v>25</v>
      </c>
      <c r="G14" s="34">
        <v>32073.883333333331</v>
      </c>
      <c r="H14" s="87"/>
    </row>
    <row r="15" spans="2:14" x14ac:dyDescent="0.3">
      <c r="B15" s="19" t="s">
        <v>22</v>
      </c>
      <c r="C15" s="30">
        <v>9587</v>
      </c>
      <c r="D15" s="21">
        <v>896542</v>
      </c>
      <c r="F15" s="24" t="s">
        <v>26</v>
      </c>
      <c r="G15" s="34">
        <v>32414.75</v>
      </c>
      <c r="H15" s="87"/>
    </row>
    <row r="16" spans="2:14" x14ac:dyDescent="0.3">
      <c r="B16" s="22" t="s">
        <v>23</v>
      </c>
      <c r="C16" s="31">
        <v>9852</v>
      </c>
      <c r="D16" s="23">
        <v>12544</v>
      </c>
      <c r="F16" s="22" t="s">
        <v>27</v>
      </c>
      <c r="G16" s="35">
        <v>17594.571428571428</v>
      </c>
      <c r="H16" s="87"/>
    </row>
    <row r="17" spans="2:8" x14ac:dyDescent="0.3">
      <c r="B17" s="22" t="s">
        <v>23</v>
      </c>
      <c r="C17" s="31">
        <v>11125</v>
      </c>
      <c r="D17" s="23">
        <v>25413</v>
      </c>
      <c r="F17" s="22" t="s">
        <v>28</v>
      </c>
      <c r="G17" s="35">
        <v>55469</v>
      </c>
      <c r="H17" s="87"/>
    </row>
    <row r="18" spans="2:8" x14ac:dyDescent="0.3">
      <c r="B18" s="22" t="s">
        <v>23</v>
      </c>
      <c r="C18" s="30">
        <v>32556</v>
      </c>
      <c r="D18" s="21">
        <v>44474</v>
      </c>
      <c r="F18" s="22" t="s">
        <v>29</v>
      </c>
      <c r="G18" s="34">
        <v>52629.666666666664</v>
      </c>
      <c r="H18" s="87"/>
    </row>
    <row r="19" spans="2:8" x14ac:dyDescent="0.3">
      <c r="B19" s="22" t="s">
        <v>23</v>
      </c>
      <c r="C19" s="30">
        <v>45201</v>
      </c>
      <c r="D19" s="21">
        <v>142122</v>
      </c>
      <c r="F19" s="22" t="s">
        <v>30</v>
      </c>
      <c r="G19" s="34">
        <v>18698.444444444445</v>
      </c>
      <c r="H19" s="87"/>
    </row>
    <row r="20" spans="2:8" x14ac:dyDescent="0.3">
      <c r="B20" s="22" t="s">
        <v>23</v>
      </c>
      <c r="C20" s="30">
        <v>36982</v>
      </c>
      <c r="D20" s="21">
        <v>112253</v>
      </c>
      <c r="F20" s="22" t="s">
        <v>31</v>
      </c>
      <c r="G20" s="34">
        <v>17744.333333333332</v>
      </c>
      <c r="H20" s="87"/>
    </row>
    <row r="21" spans="2:8" x14ac:dyDescent="0.3">
      <c r="B21" s="22" t="s">
        <v>23</v>
      </c>
      <c r="C21" s="30">
        <v>41145</v>
      </c>
      <c r="D21" s="21">
        <v>121217</v>
      </c>
      <c r="F21" s="22" t="s">
        <v>32</v>
      </c>
      <c r="G21" s="34">
        <v>33376.857142857145</v>
      </c>
      <c r="H21" s="87"/>
    </row>
    <row r="22" spans="2:8" x14ac:dyDescent="0.3">
      <c r="B22" s="22" t="s">
        <v>23</v>
      </c>
      <c r="C22" s="30">
        <v>56632</v>
      </c>
      <c r="D22" s="21">
        <v>655554</v>
      </c>
      <c r="F22" s="22" t="s">
        <v>33</v>
      </c>
      <c r="G22" s="34">
        <v>64575.25</v>
      </c>
      <c r="H22" s="87"/>
    </row>
    <row r="23" spans="2:8" x14ac:dyDescent="0.3">
      <c r="B23" s="22" t="s">
        <v>23</v>
      </c>
      <c r="C23" s="30">
        <v>41212</v>
      </c>
      <c r="D23" s="21">
        <v>561221</v>
      </c>
      <c r="F23" s="22" t="s">
        <v>34</v>
      </c>
      <c r="G23" s="34">
        <v>8667.75</v>
      </c>
    </row>
    <row r="24" spans="2:8" x14ac:dyDescent="0.3">
      <c r="B24" s="24" t="s">
        <v>24</v>
      </c>
      <c r="C24" s="30">
        <v>19857</v>
      </c>
      <c r="D24" s="21">
        <v>121112</v>
      </c>
      <c r="F24" s="39" t="s">
        <v>39</v>
      </c>
      <c r="G24" s="36">
        <v>46798.5</v>
      </c>
      <c r="H24" s="87"/>
    </row>
    <row r="25" spans="2:8" x14ac:dyDescent="0.3">
      <c r="B25" s="24" t="s">
        <v>24</v>
      </c>
      <c r="C25" s="30">
        <v>11741</v>
      </c>
      <c r="D25" s="21">
        <v>554112</v>
      </c>
      <c r="F25" s="39" t="s">
        <v>35</v>
      </c>
      <c r="G25" s="36">
        <v>32487.333333333332</v>
      </c>
      <c r="H25" s="87"/>
    </row>
    <row r="26" spans="2:8" x14ac:dyDescent="0.3">
      <c r="B26" s="24" t="s">
        <v>24</v>
      </c>
      <c r="C26" s="30">
        <v>22123</v>
      </c>
      <c r="D26" s="21">
        <v>185477</v>
      </c>
      <c r="F26" s="39" t="s">
        <v>36</v>
      </c>
      <c r="G26" s="36">
        <v>46666.25</v>
      </c>
      <c r="H26" s="87"/>
    </row>
    <row r="27" spans="2:8" ht="15" thickBot="1" x14ac:dyDescent="0.35">
      <c r="B27" s="24" t="s">
        <v>24</v>
      </c>
      <c r="C27" s="30">
        <v>12365</v>
      </c>
      <c r="D27" s="21">
        <v>211456</v>
      </c>
      <c r="F27" s="40" t="s">
        <v>37</v>
      </c>
      <c r="G27" s="37">
        <v>56350.857142857145</v>
      </c>
      <c r="H27" s="87"/>
    </row>
    <row r="28" spans="2:8" x14ac:dyDescent="0.3">
      <c r="B28" s="24" t="s">
        <v>24</v>
      </c>
      <c r="C28" s="30">
        <v>6442</v>
      </c>
      <c r="D28" s="21">
        <v>121221</v>
      </c>
    </row>
    <row r="29" spans="2:8" x14ac:dyDescent="0.3">
      <c r="B29" s="24" t="s">
        <v>24</v>
      </c>
      <c r="C29" s="30">
        <v>36985</v>
      </c>
      <c r="D29" s="21">
        <v>653222</v>
      </c>
    </row>
    <row r="30" spans="2:8" x14ac:dyDescent="0.3">
      <c r="B30" s="24" t="s">
        <v>25</v>
      </c>
      <c r="C30" s="30">
        <v>1256</v>
      </c>
      <c r="D30" s="21">
        <v>363512</v>
      </c>
    </row>
    <row r="31" spans="2:8" x14ac:dyDescent="0.3">
      <c r="B31" s="24" t="s">
        <v>25</v>
      </c>
      <c r="C31" s="30">
        <v>985</v>
      </c>
      <c r="D31" s="21">
        <v>633221</v>
      </c>
    </row>
    <row r="32" spans="2:8" x14ac:dyDescent="0.3">
      <c r="B32" s="24" t="s">
        <v>25</v>
      </c>
      <c r="C32" s="30">
        <v>46654.22</v>
      </c>
      <c r="D32" s="21">
        <v>545445</v>
      </c>
    </row>
    <row r="33" spans="2:4" x14ac:dyDescent="0.3">
      <c r="B33" s="24" t="s">
        <v>25</v>
      </c>
      <c r="C33" s="30">
        <v>47242.16</v>
      </c>
      <c r="D33" s="21">
        <v>144587</v>
      </c>
    </row>
    <row r="34" spans="2:4" x14ac:dyDescent="0.3">
      <c r="B34" s="24" t="s">
        <v>25</v>
      </c>
      <c r="C34" s="30">
        <v>47885.47</v>
      </c>
      <c r="D34" s="21">
        <v>152214</v>
      </c>
    </row>
    <row r="35" spans="2:4" x14ac:dyDescent="0.3">
      <c r="B35" s="24" t="s">
        <v>25</v>
      </c>
      <c r="C35" s="30">
        <v>48420.45</v>
      </c>
      <c r="D35" s="21">
        <v>155634</v>
      </c>
    </row>
    <row r="36" spans="2:4" x14ac:dyDescent="0.3">
      <c r="B36" s="24" t="s">
        <v>26</v>
      </c>
      <c r="C36" s="30">
        <v>11232</v>
      </c>
      <c r="D36" s="21">
        <v>212211</v>
      </c>
    </row>
    <row r="37" spans="2:4" x14ac:dyDescent="0.3">
      <c r="B37" s="24" t="s">
        <v>26</v>
      </c>
      <c r="C37" s="30">
        <v>15254</v>
      </c>
      <c r="D37" s="21">
        <v>985589</v>
      </c>
    </row>
    <row r="38" spans="2:4" x14ac:dyDescent="0.3">
      <c r="B38" s="24" t="s">
        <v>26</v>
      </c>
      <c r="C38" s="30">
        <v>89954</v>
      </c>
      <c r="D38" s="21">
        <v>774444</v>
      </c>
    </row>
    <row r="39" spans="2:4" x14ac:dyDescent="0.3">
      <c r="B39" s="24" t="s">
        <v>26</v>
      </c>
      <c r="C39" s="30">
        <v>78564</v>
      </c>
      <c r="D39" s="21">
        <v>985574</v>
      </c>
    </row>
    <row r="40" spans="2:4" x14ac:dyDescent="0.3">
      <c r="B40" s="24" t="s">
        <v>26</v>
      </c>
      <c r="C40" s="30">
        <v>48963</v>
      </c>
      <c r="D40" s="25">
        <v>896523</v>
      </c>
    </row>
    <row r="41" spans="2:4" x14ac:dyDescent="0.3">
      <c r="B41" s="24" t="s">
        <v>26</v>
      </c>
      <c r="C41" s="30">
        <v>6554</v>
      </c>
      <c r="D41" s="21">
        <v>554121</v>
      </c>
    </row>
    <row r="42" spans="2:4" x14ac:dyDescent="0.3">
      <c r="B42" s="24" t="s">
        <v>26</v>
      </c>
      <c r="C42" s="30">
        <v>2245</v>
      </c>
      <c r="D42" s="21">
        <v>541223</v>
      </c>
    </row>
    <row r="43" spans="2:4" x14ac:dyDescent="0.3">
      <c r="B43" s="24" t="s">
        <v>26</v>
      </c>
      <c r="C43" s="30">
        <v>6552</v>
      </c>
      <c r="D43" s="21">
        <v>411522</v>
      </c>
    </row>
    <row r="44" spans="2:4" x14ac:dyDescent="0.3">
      <c r="B44" s="24" t="s">
        <v>27</v>
      </c>
      <c r="C44" s="30">
        <v>2256</v>
      </c>
      <c r="D44" s="21">
        <v>411223</v>
      </c>
    </row>
    <row r="45" spans="2:4" x14ac:dyDescent="0.3">
      <c r="B45" s="24" t="s">
        <v>27</v>
      </c>
      <c r="C45" s="30">
        <v>9874</v>
      </c>
      <c r="D45" s="21">
        <v>411244</v>
      </c>
    </row>
    <row r="46" spans="2:4" x14ac:dyDescent="0.3">
      <c r="B46" s="24" t="s">
        <v>27</v>
      </c>
      <c r="C46" s="30">
        <v>5555</v>
      </c>
      <c r="D46" s="21">
        <v>221412</v>
      </c>
    </row>
    <row r="47" spans="2:4" x14ac:dyDescent="0.3">
      <c r="B47" s="24" t="s">
        <v>27</v>
      </c>
      <c r="C47" s="31">
        <v>22251</v>
      </c>
      <c r="D47" s="23">
        <v>21555</v>
      </c>
    </row>
    <row r="48" spans="2:4" x14ac:dyDescent="0.3">
      <c r="B48" s="24" t="s">
        <v>27</v>
      </c>
      <c r="C48" s="31">
        <v>19852</v>
      </c>
      <c r="D48" s="23">
        <v>15452</v>
      </c>
    </row>
    <row r="49" spans="2:4" x14ac:dyDescent="0.3">
      <c r="B49" s="24" t="s">
        <v>27</v>
      </c>
      <c r="C49" s="31">
        <v>48963</v>
      </c>
      <c r="D49" s="23">
        <v>256314</v>
      </c>
    </row>
    <row r="50" spans="2:4" x14ac:dyDescent="0.3">
      <c r="B50" s="24" t="s">
        <v>27</v>
      </c>
      <c r="C50" s="30">
        <v>14411</v>
      </c>
      <c r="D50" s="21">
        <v>115474</v>
      </c>
    </row>
    <row r="51" spans="2:4" x14ac:dyDescent="0.3">
      <c r="B51" s="24" t="s">
        <v>28</v>
      </c>
      <c r="C51" s="30">
        <v>142987</v>
      </c>
      <c r="D51" s="21">
        <v>114212</v>
      </c>
    </row>
    <row r="52" spans="2:4" x14ac:dyDescent="0.3">
      <c r="B52" s="24" t="s">
        <v>28</v>
      </c>
      <c r="C52" s="30">
        <v>52698</v>
      </c>
      <c r="D52" s="21">
        <v>256332</v>
      </c>
    </row>
    <row r="53" spans="2:4" x14ac:dyDescent="0.3">
      <c r="B53" s="24" t="s">
        <v>28</v>
      </c>
      <c r="C53" s="30">
        <v>45678</v>
      </c>
      <c r="D53" s="21">
        <v>215211</v>
      </c>
    </row>
    <row r="54" spans="2:4" x14ac:dyDescent="0.3">
      <c r="B54" s="24" t="s">
        <v>28</v>
      </c>
      <c r="C54" s="30">
        <v>12526</v>
      </c>
      <c r="D54" s="21">
        <v>225148</v>
      </c>
    </row>
    <row r="55" spans="2:4" x14ac:dyDescent="0.3">
      <c r="B55" s="24" t="s">
        <v>28</v>
      </c>
      <c r="C55" s="30">
        <v>23456</v>
      </c>
      <c r="D55" s="21">
        <v>256984</v>
      </c>
    </row>
    <row r="56" spans="2:4" x14ac:dyDescent="0.3">
      <c r="B56" s="24" t="s">
        <v>29</v>
      </c>
      <c r="C56" s="30">
        <v>97654</v>
      </c>
      <c r="D56" s="21">
        <v>112154</v>
      </c>
    </row>
    <row r="57" spans="2:4" x14ac:dyDescent="0.3">
      <c r="B57" s="24" t="s">
        <v>29</v>
      </c>
      <c r="C57" s="30">
        <v>56789</v>
      </c>
      <c r="D57" s="21">
        <v>248963</v>
      </c>
    </row>
    <row r="58" spans="2:4" x14ac:dyDescent="0.3">
      <c r="B58" s="24" t="s">
        <v>29</v>
      </c>
      <c r="C58" s="30">
        <v>36987</v>
      </c>
      <c r="D58" s="21">
        <v>256489</v>
      </c>
    </row>
    <row r="59" spans="2:4" x14ac:dyDescent="0.3">
      <c r="B59" s="24" t="s">
        <v>29</v>
      </c>
      <c r="C59" s="30">
        <v>123456</v>
      </c>
      <c r="D59" s="21">
        <v>122536</v>
      </c>
    </row>
    <row r="60" spans="2:4" x14ac:dyDescent="0.3">
      <c r="B60" s="24" t="s">
        <v>29</v>
      </c>
      <c r="C60" s="30">
        <v>25859</v>
      </c>
      <c r="D60" s="21">
        <v>568854</v>
      </c>
    </row>
    <row r="61" spans="2:4" x14ac:dyDescent="0.3">
      <c r="B61" s="24" t="s">
        <v>29</v>
      </c>
      <c r="C61" s="30">
        <v>17896</v>
      </c>
      <c r="D61" s="21">
        <v>556352</v>
      </c>
    </row>
    <row r="62" spans="2:4" x14ac:dyDescent="0.3">
      <c r="B62" s="24" t="s">
        <v>29</v>
      </c>
      <c r="C62" s="30">
        <v>49076</v>
      </c>
      <c r="D62" s="21">
        <v>552854</v>
      </c>
    </row>
    <row r="63" spans="2:4" x14ac:dyDescent="0.3">
      <c r="B63" s="24" t="s">
        <v>29</v>
      </c>
      <c r="C63" s="30">
        <v>28965</v>
      </c>
      <c r="D63" s="21">
        <v>122525</v>
      </c>
    </row>
    <row r="64" spans="2:4" x14ac:dyDescent="0.3">
      <c r="B64" s="24" t="s">
        <v>29</v>
      </c>
      <c r="C64" s="30">
        <v>36985</v>
      </c>
      <c r="D64" s="21">
        <v>241221</v>
      </c>
    </row>
    <row r="65" spans="2:4" x14ac:dyDescent="0.3">
      <c r="B65" s="24" t="s">
        <v>30</v>
      </c>
      <c r="C65" s="30">
        <v>45632</v>
      </c>
      <c r="D65" s="21">
        <v>656254</v>
      </c>
    </row>
    <row r="66" spans="2:4" x14ac:dyDescent="0.3">
      <c r="B66" s="24" t="s">
        <v>30</v>
      </c>
      <c r="C66" s="30">
        <v>24896</v>
      </c>
      <c r="D66" s="21">
        <v>654101</v>
      </c>
    </row>
    <row r="67" spans="2:4" x14ac:dyDescent="0.3">
      <c r="B67" s="24" t="s">
        <v>30</v>
      </c>
      <c r="C67" s="30">
        <v>17596</v>
      </c>
      <c r="D67" s="21">
        <v>556652</v>
      </c>
    </row>
    <row r="68" spans="2:4" x14ac:dyDescent="0.3">
      <c r="B68" s="24" t="s">
        <v>30</v>
      </c>
      <c r="C68" s="30">
        <v>5698</v>
      </c>
      <c r="D68" s="21">
        <v>454541</v>
      </c>
    </row>
    <row r="69" spans="2:4" x14ac:dyDescent="0.3">
      <c r="B69" s="24" t="s">
        <v>30</v>
      </c>
      <c r="C69" s="30">
        <v>9865</v>
      </c>
      <c r="D69" s="21">
        <v>322221</v>
      </c>
    </row>
    <row r="70" spans="2:4" x14ac:dyDescent="0.3">
      <c r="B70" s="24" t="s">
        <v>30</v>
      </c>
      <c r="C70" s="30">
        <v>12365</v>
      </c>
      <c r="D70" s="21">
        <v>256544</v>
      </c>
    </row>
    <row r="71" spans="2:4" x14ac:dyDescent="0.3">
      <c r="B71" s="24" t="s">
        <v>30</v>
      </c>
      <c r="C71" s="30">
        <v>12124</v>
      </c>
      <c r="D71" s="21">
        <v>561121</v>
      </c>
    </row>
    <row r="72" spans="2:4" x14ac:dyDescent="0.3">
      <c r="B72" s="24" t="s">
        <v>30</v>
      </c>
      <c r="C72" s="30">
        <v>18965</v>
      </c>
      <c r="D72" s="21">
        <v>574544</v>
      </c>
    </row>
    <row r="73" spans="2:4" x14ac:dyDescent="0.3">
      <c r="B73" s="24" t="s">
        <v>30</v>
      </c>
      <c r="C73" s="30">
        <v>21145</v>
      </c>
      <c r="D73" s="21">
        <v>157445</v>
      </c>
    </row>
    <row r="74" spans="2:4" x14ac:dyDescent="0.3">
      <c r="B74" s="24" t="s">
        <v>31</v>
      </c>
      <c r="C74" s="30">
        <v>14545</v>
      </c>
      <c r="D74" s="21">
        <v>111522</v>
      </c>
    </row>
    <row r="75" spans="2:4" x14ac:dyDescent="0.3">
      <c r="B75" s="24" t="s">
        <v>31</v>
      </c>
      <c r="C75" s="30">
        <v>12566</v>
      </c>
      <c r="D75" s="21">
        <v>112235</v>
      </c>
    </row>
    <row r="76" spans="2:4" x14ac:dyDescent="0.3">
      <c r="B76" s="24" t="s">
        <v>31</v>
      </c>
      <c r="C76" s="30">
        <v>17854</v>
      </c>
      <c r="D76" s="21">
        <v>211142</v>
      </c>
    </row>
    <row r="77" spans="2:4" x14ac:dyDescent="0.3">
      <c r="B77" s="24" t="s">
        <v>31</v>
      </c>
      <c r="C77" s="30">
        <v>19325</v>
      </c>
      <c r="D77" s="21">
        <v>211331</v>
      </c>
    </row>
    <row r="78" spans="2:4" x14ac:dyDescent="0.3">
      <c r="B78" s="24" t="s">
        <v>31</v>
      </c>
      <c r="C78" s="30">
        <v>16544</v>
      </c>
      <c r="D78" s="21">
        <v>654122</v>
      </c>
    </row>
    <row r="79" spans="2:4" x14ac:dyDescent="0.3">
      <c r="B79" s="24" t="s">
        <v>31</v>
      </c>
      <c r="C79" s="30">
        <v>25632</v>
      </c>
      <c r="D79" s="21">
        <v>565213</v>
      </c>
    </row>
    <row r="80" spans="2:4" x14ac:dyDescent="0.3">
      <c r="B80" s="24" t="s">
        <v>32</v>
      </c>
      <c r="C80" s="30">
        <v>14567</v>
      </c>
      <c r="D80" s="21">
        <v>263589</v>
      </c>
    </row>
    <row r="81" spans="2:4" x14ac:dyDescent="0.3">
      <c r="B81" s="24" t="s">
        <v>32</v>
      </c>
      <c r="C81" s="30">
        <v>38763</v>
      </c>
      <c r="D81" s="21">
        <v>126655</v>
      </c>
    </row>
    <row r="82" spans="2:4" x14ac:dyDescent="0.3">
      <c r="B82" s="24" t="s">
        <v>32</v>
      </c>
      <c r="C82" s="30">
        <v>14552</v>
      </c>
      <c r="D82" s="25">
        <v>122636</v>
      </c>
    </row>
    <row r="83" spans="2:4" x14ac:dyDescent="0.3">
      <c r="B83" s="24" t="s">
        <v>32</v>
      </c>
      <c r="C83" s="30">
        <v>34567</v>
      </c>
      <c r="D83" s="25">
        <v>156636</v>
      </c>
    </row>
    <row r="84" spans="2:4" x14ac:dyDescent="0.3">
      <c r="B84" s="24" t="s">
        <v>32</v>
      </c>
      <c r="C84" s="30">
        <v>76889</v>
      </c>
      <c r="D84" s="21">
        <v>141252</v>
      </c>
    </row>
    <row r="85" spans="2:4" x14ac:dyDescent="0.3">
      <c r="B85" s="24" t="s">
        <v>32</v>
      </c>
      <c r="C85" s="30">
        <v>34324</v>
      </c>
      <c r="D85" s="21">
        <v>225412</v>
      </c>
    </row>
    <row r="86" spans="2:4" x14ac:dyDescent="0.3">
      <c r="B86" s="24" t="s">
        <v>32</v>
      </c>
      <c r="C86" s="30">
        <v>19976</v>
      </c>
      <c r="D86" s="21">
        <v>365212</v>
      </c>
    </row>
    <row r="87" spans="2:4" x14ac:dyDescent="0.3">
      <c r="B87" s="24" t="s">
        <v>33</v>
      </c>
      <c r="C87" s="30">
        <v>115567</v>
      </c>
      <c r="D87" s="21">
        <v>114522</v>
      </c>
    </row>
    <row r="88" spans="2:4" x14ac:dyDescent="0.3">
      <c r="B88" s="24" t="s">
        <v>33</v>
      </c>
      <c r="C88" s="30">
        <v>98756</v>
      </c>
      <c r="D88" s="21">
        <v>655654</v>
      </c>
    </row>
    <row r="89" spans="2:4" x14ac:dyDescent="0.3">
      <c r="B89" s="24" t="s">
        <v>33</v>
      </c>
      <c r="C89" s="30">
        <v>56789</v>
      </c>
      <c r="D89" s="21">
        <v>112554</v>
      </c>
    </row>
    <row r="90" spans="2:4" x14ac:dyDescent="0.3">
      <c r="B90" s="24" t="s">
        <v>33</v>
      </c>
      <c r="C90" s="30">
        <v>65456</v>
      </c>
      <c r="D90" s="21">
        <v>663541</v>
      </c>
    </row>
    <row r="91" spans="2:4" x14ac:dyDescent="0.3">
      <c r="B91" s="24" t="s">
        <v>33</v>
      </c>
      <c r="C91" s="30">
        <v>36789</v>
      </c>
      <c r="D91" s="21">
        <v>211122</v>
      </c>
    </row>
    <row r="92" spans="2:4" x14ac:dyDescent="0.3">
      <c r="B92" s="24" t="s">
        <v>33</v>
      </c>
      <c r="C92" s="30">
        <v>65467</v>
      </c>
      <c r="D92" s="21">
        <v>226541</v>
      </c>
    </row>
    <row r="93" spans="2:4" x14ac:dyDescent="0.3">
      <c r="B93" s="24" t="s">
        <v>33</v>
      </c>
      <c r="C93" s="30">
        <v>23456</v>
      </c>
      <c r="D93" s="21">
        <v>541141</v>
      </c>
    </row>
    <row r="94" spans="2:4" x14ac:dyDescent="0.3">
      <c r="B94" s="24" t="s">
        <v>33</v>
      </c>
      <c r="C94" s="30">
        <v>54322</v>
      </c>
      <c r="D94" s="21">
        <v>522151</v>
      </c>
    </row>
    <row r="95" spans="2:4" x14ac:dyDescent="0.3">
      <c r="B95" s="24" t="s">
        <v>34</v>
      </c>
      <c r="C95" s="30">
        <v>14585</v>
      </c>
      <c r="D95" s="25">
        <v>511152</v>
      </c>
    </row>
    <row r="96" spans="2:4" x14ac:dyDescent="0.3">
      <c r="B96" s="24" t="s">
        <v>34</v>
      </c>
      <c r="C96" s="30">
        <v>9876</v>
      </c>
      <c r="D96" s="25">
        <v>656252</v>
      </c>
    </row>
    <row r="97" spans="2:4" x14ac:dyDescent="0.3">
      <c r="B97" s="24" t="s">
        <v>34</v>
      </c>
      <c r="C97" s="30">
        <v>6754</v>
      </c>
      <c r="D97" s="25">
        <v>422112</v>
      </c>
    </row>
    <row r="98" spans="2:4" x14ac:dyDescent="0.3">
      <c r="B98" s="24" t="s">
        <v>34</v>
      </c>
      <c r="C98" s="30">
        <v>3456</v>
      </c>
      <c r="D98" s="21">
        <v>212221</v>
      </c>
    </row>
    <row r="99" spans="2:4" x14ac:dyDescent="0.3">
      <c r="B99" s="24" t="s">
        <v>39</v>
      </c>
      <c r="C99" s="30">
        <v>45678</v>
      </c>
      <c r="D99" s="21">
        <v>332211</v>
      </c>
    </row>
    <row r="100" spans="2:4" x14ac:dyDescent="0.3">
      <c r="B100" s="24" t="s">
        <v>39</v>
      </c>
      <c r="C100" s="30">
        <v>32456</v>
      </c>
      <c r="D100" s="21">
        <v>445643</v>
      </c>
    </row>
    <row r="101" spans="2:4" x14ac:dyDescent="0.3">
      <c r="B101" s="24" t="s">
        <v>39</v>
      </c>
      <c r="C101" s="30">
        <v>12347</v>
      </c>
      <c r="D101" s="21">
        <v>754455</v>
      </c>
    </row>
    <row r="102" spans="2:4" x14ac:dyDescent="0.3">
      <c r="B102" s="24" t="s">
        <v>39</v>
      </c>
      <c r="C102" s="30">
        <v>97900</v>
      </c>
      <c r="D102" s="21">
        <v>654766</v>
      </c>
    </row>
    <row r="103" spans="2:4" x14ac:dyDescent="0.3">
      <c r="B103" s="24" t="s">
        <v>39</v>
      </c>
      <c r="C103" s="30">
        <v>13456</v>
      </c>
      <c r="D103" s="21">
        <v>768543</v>
      </c>
    </row>
    <row r="104" spans="2:4" x14ac:dyDescent="0.3">
      <c r="B104" s="24" t="s">
        <v>39</v>
      </c>
      <c r="C104" s="30">
        <v>78954</v>
      </c>
      <c r="D104" s="21">
        <v>343456</v>
      </c>
    </row>
    <row r="105" spans="2:4" x14ac:dyDescent="0.3">
      <c r="B105" s="24" t="s">
        <v>35</v>
      </c>
      <c r="C105" s="30">
        <v>16789</v>
      </c>
      <c r="D105" s="21">
        <v>552111</v>
      </c>
    </row>
    <row r="106" spans="2:4" x14ac:dyDescent="0.3">
      <c r="B106" s="24" t="s">
        <v>35</v>
      </c>
      <c r="C106" s="30">
        <v>56789</v>
      </c>
      <c r="D106" s="21">
        <v>256332</v>
      </c>
    </row>
    <row r="107" spans="2:4" x14ac:dyDescent="0.3">
      <c r="B107" s="24" t="s">
        <v>35</v>
      </c>
      <c r="C107" s="30">
        <v>23456</v>
      </c>
      <c r="D107" s="21">
        <v>554232</v>
      </c>
    </row>
    <row r="108" spans="2:4" x14ac:dyDescent="0.3">
      <c r="B108" s="24" t="s">
        <v>35</v>
      </c>
      <c r="C108" s="30">
        <v>65432</v>
      </c>
      <c r="D108" s="21">
        <v>455524</v>
      </c>
    </row>
    <row r="109" spans="2:4" x14ac:dyDescent="0.3">
      <c r="B109" s="24" t="s">
        <v>35</v>
      </c>
      <c r="C109" s="30">
        <v>21234</v>
      </c>
      <c r="D109" s="21">
        <v>556321</v>
      </c>
    </row>
    <row r="110" spans="2:4" x14ac:dyDescent="0.3">
      <c r="B110" s="24" t="s">
        <v>35</v>
      </c>
      <c r="C110" s="30">
        <v>11224</v>
      </c>
      <c r="D110" s="21">
        <v>541255</v>
      </c>
    </row>
    <row r="111" spans="2:4" x14ac:dyDescent="0.3">
      <c r="B111" s="24" t="s">
        <v>36</v>
      </c>
      <c r="C111" s="30">
        <v>17525</v>
      </c>
      <c r="D111" s="21">
        <v>526321</v>
      </c>
    </row>
    <row r="112" spans="2:4" x14ac:dyDescent="0.3">
      <c r="B112" s="24" t="s">
        <v>36</v>
      </c>
      <c r="C112" s="30">
        <v>25983</v>
      </c>
      <c r="D112" s="21">
        <v>565121</v>
      </c>
    </row>
    <row r="113" spans="2:4" x14ac:dyDescent="0.3">
      <c r="B113" s="24" t="s">
        <v>36</v>
      </c>
      <c r="C113" s="30">
        <v>56662</v>
      </c>
      <c r="D113" s="21">
        <v>231566</v>
      </c>
    </row>
    <row r="114" spans="2:4" x14ac:dyDescent="0.3">
      <c r="B114" s="24" t="s">
        <v>36</v>
      </c>
      <c r="C114" s="30">
        <v>66523</v>
      </c>
      <c r="D114" s="21">
        <v>366544</v>
      </c>
    </row>
    <row r="115" spans="2:4" x14ac:dyDescent="0.3">
      <c r="B115" s="24" t="s">
        <v>36</v>
      </c>
      <c r="C115" s="30">
        <v>89652</v>
      </c>
      <c r="D115" s="21">
        <v>662354</v>
      </c>
    </row>
    <row r="116" spans="2:4" x14ac:dyDescent="0.3">
      <c r="B116" s="24" t="s">
        <v>36</v>
      </c>
      <c r="C116" s="30">
        <v>23365</v>
      </c>
      <c r="D116" s="21">
        <v>665522</v>
      </c>
    </row>
    <row r="117" spans="2:4" x14ac:dyDescent="0.3">
      <c r="B117" s="24" t="s">
        <v>36</v>
      </c>
      <c r="C117" s="30">
        <v>36985</v>
      </c>
      <c r="D117" s="25">
        <v>668523</v>
      </c>
    </row>
    <row r="118" spans="2:4" x14ac:dyDescent="0.3">
      <c r="B118" s="24" t="s">
        <v>36</v>
      </c>
      <c r="C118" s="30">
        <v>56635</v>
      </c>
      <c r="D118" s="21">
        <v>555441</v>
      </c>
    </row>
    <row r="119" spans="2:4" x14ac:dyDescent="0.3">
      <c r="B119" s="24" t="s">
        <v>37</v>
      </c>
      <c r="C119" s="30">
        <v>113456</v>
      </c>
      <c r="D119" s="21">
        <v>122000</v>
      </c>
    </row>
    <row r="120" spans="2:4" x14ac:dyDescent="0.3">
      <c r="B120" s="24" t="s">
        <v>37</v>
      </c>
      <c r="C120" s="30">
        <v>97654</v>
      </c>
      <c r="D120" s="21">
        <v>454545</v>
      </c>
    </row>
    <row r="121" spans="2:4" x14ac:dyDescent="0.3">
      <c r="B121" s="24" t="s">
        <v>37</v>
      </c>
      <c r="C121" s="30">
        <v>22234</v>
      </c>
      <c r="D121" s="21">
        <v>565544</v>
      </c>
    </row>
    <row r="122" spans="2:4" x14ac:dyDescent="0.3">
      <c r="B122" s="24" t="s">
        <v>37</v>
      </c>
      <c r="C122" s="30">
        <v>33456</v>
      </c>
      <c r="D122" s="21">
        <v>556441</v>
      </c>
    </row>
    <row r="123" spans="2:4" x14ac:dyDescent="0.3">
      <c r="B123" s="24" t="s">
        <v>37</v>
      </c>
      <c r="C123" s="30">
        <v>35872</v>
      </c>
      <c r="D123" s="21">
        <v>556544</v>
      </c>
    </row>
    <row r="124" spans="2:4" x14ac:dyDescent="0.3">
      <c r="B124" s="24" t="s">
        <v>37</v>
      </c>
      <c r="C124" s="30">
        <v>25893</v>
      </c>
      <c r="D124" s="21">
        <v>122533</v>
      </c>
    </row>
    <row r="125" spans="2:4" ht="15" thickBot="1" x14ac:dyDescent="0.35">
      <c r="B125" s="27" t="s">
        <v>37</v>
      </c>
      <c r="C125" s="32">
        <v>65891</v>
      </c>
      <c r="D125" s="28">
        <v>125221</v>
      </c>
    </row>
  </sheetData>
  <dataConsolidate function="average">
    <dataRefs count="1">
      <dataRef ref="B11:C125" sheet="CONSOLIDAÇÃO VALORES"/>
    </dataRefs>
  </dataConsolidate>
  <mergeCells count="2">
    <mergeCell ref="F8:G8"/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0"/>
  <dimension ref="B9:I34"/>
  <sheetViews>
    <sheetView showGridLines="0" workbookViewId="0">
      <selection activeCell="G5" sqref="G5"/>
    </sheetView>
  </sheetViews>
  <sheetFormatPr defaultRowHeight="14.4" x14ac:dyDescent="0.3"/>
  <cols>
    <col min="1" max="1" width="2.33203125" customWidth="1"/>
    <col min="2" max="2" width="28.88671875" customWidth="1"/>
    <col min="3" max="3" width="12.109375" bestFit="1" customWidth="1"/>
    <col min="4" max="4" width="12.5546875" customWidth="1"/>
    <col min="5" max="5" width="12.44140625" customWidth="1"/>
    <col min="6" max="6" width="13" customWidth="1"/>
  </cols>
  <sheetData>
    <row r="9" spans="2:9" x14ac:dyDescent="0.3">
      <c r="B9" s="80" t="s">
        <v>101</v>
      </c>
      <c r="C9" s="81" t="s">
        <v>102</v>
      </c>
      <c r="D9" s="82" t="s">
        <v>103</v>
      </c>
      <c r="E9" s="82" t="s">
        <v>104</v>
      </c>
      <c r="F9" s="82" t="s">
        <v>105</v>
      </c>
    </row>
    <row r="10" spans="2:9" x14ac:dyDescent="0.3">
      <c r="B10" s="43" t="s">
        <v>50</v>
      </c>
      <c r="C10" s="70" t="s">
        <v>56</v>
      </c>
      <c r="D10" s="71">
        <v>456</v>
      </c>
      <c r="E10" s="72">
        <v>5534</v>
      </c>
      <c r="F10" s="72">
        <v>23432</v>
      </c>
    </row>
    <row r="11" spans="2:9" x14ac:dyDescent="0.3">
      <c r="B11" s="43" t="s">
        <v>60</v>
      </c>
      <c r="C11" s="70" t="s">
        <v>56</v>
      </c>
      <c r="D11" s="71">
        <v>333</v>
      </c>
      <c r="E11" s="72">
        <v>223</v>
      </c>
      <c r="F11" s="72">
        <v>432</v>
      </c>
    </row>
    <row r="12" spans="2:9" x14ac:dyDescent="0.3">
      <c r="B12" s="43" t="s">
        <v>61</v>
      </c>
      <c r="C12" s="70" t="s">
        <v>56</v>
      </c>
      <c r="D12" s="71">
        <v>3235</v>
      </c>
      <c r="E12" s="72">
        <v>2</v>
      </c>
      <c r="F12" s="72">
        <v>32</v>
      </c>
    </row>
    <row r="13" spans="2:9" x14ac:dyDescent="0.3">
      <c r="B13" s="43" t="s">
        <v>42</v>
      </c>
      <c r="C13" s="70" t="s">
        <v>56</v>
      </c>
      <c r="D13" s="71">
        <v>3456</v>
      </c>
      <c r="E13" s="72">
        <v>121</v>
      </c>
      <c r="F13" s="72">
        <v>32</v>
      </c>
    </row>
    <row r="14" spans="2:9" x14ac:dyDescent="0.3">
      <c r="B14" s="14" t="s">
        <v>51</v>
      </c>
      <c r="C14" s="70" t="s">
        <v>57</v>
      </c>
      <c r="D14" s="71">
        <v>1234</v>
      </c>
      <c r="E14" s="72">
        <v>5</v>
      </c>
      <c r="F14" s="72">
        <v>32</v>
      </c>
    </row>
    <row r="15" spans="2:9" x14ac:dyDescent="0.3">
      <c r="B15" s="43" t="s">
        <v>52</v>
      </c>
      <c r="C15" s="70" t="s">
        <v>57</v>
      </c>
      <c r="D15" s="71">
        <v>9876</v>
      </c>
      <c r="E15" s="72">
        <v>656</v>
      </c>
      <c r="F15" s="72">
        <v>32</v>
      </c>
    </row>
    <row r="16" spans="2:9" x14ac:dyDescent="0.3">
      <c r="B16" s="43" t="s">
        <v>43</v>
      </c>
      <c r="C16" s="70" t="s">
        <v>56</v>
      </c>
      <c r="D16" s="71">
        <v>4656</v>
      </c>
      <c r="E16" s="72">
        <v>4</v>
      </c>
      <c r="F16" s="72">
        <v>1234</v>
      </c>
      <c r="G16" s="68"/>
      <c r="H16" s="68"/>
      <c r="I16" s="68"/>
    </row>
    <row r="17" spans="2:9" x14ac:dyDescent="0.3">
      <c r="B17" s="43" t="s">
        <v>44</v>
      </c>
      <c r="C17" s="70" t="s">
        <v>56</v>
      </c>
      <c r="D17" s="71">
        <v>4332</v>
      </c>
      <c r="E17" s="72">
        <v>5</v>
      </c>
      <c r="F17" s="72">
        <v>453</v>
      </c>
      <c r="G17" s="68"/>
      <c r="H17" s="68"/>
      <c r="I17" s="68"/>
    </row>
    <row r="18" spans="2:9" x14ac:dyDescent="0.3">
      <c r="B18" s="43" t="s">
        <v>63</v>
      </c>
      <c r="C18" s="70" t="s">
        <v>56</v>
      </c>
      <c r="D18" s="71">
        <v>455</v>
      </c>
      <c r="E18" s="72">
        <v>4</v>
      </c>
      <c r="F18" s="72">
        <v>24</v>
      </c>
      <c r="G18" s="68"/>
      <c r="H18" s="68"/>
      <c r="I18" s="68"/>
    </row>
    <row r="19" spans="2:9" x14ac:dyDescent="0.3">
      <c r="B19" s="43" t="s">
        <v>45</v>
      </c>
      <c r="C19" s="70" t="s">
        <v>56</v>
      </c>
      <c r="D19" s="71">
        <v>21</v>
      </c>
      <c r="E19" s="72">
        <v>54</v>
      </c>
      <c r="F19" s="72">
        <v>543</v>
      </c>
      <c r="G19" s="68"/>
      <c r="H19" s="68"/>
      <c r="I19" s="68"/>
    </row>
    <row r="20" spans="2:9" x14ac:dyDescent="0.3">
      <c r="B20" s="43" t="s">
        <v>46</v>
      </c>
      <c r="C20" s="70" t="s">
        <v>56</v>
      </c>
      <c r="D20" s="71">
        <v>234</v>
      </c>
      <c r="E20" s="72">
        <v>5</v>
      </c>
      <c r="F20" s="72">
        <v>543</v>
      </c>
      <c r="G20" s="68"/>
      <c r="H20" s="68"/>
      <c r="I20" s="68"/>
    </row>
    <row r="21" spans="2:9" x14ac:dyDescent="0.3">
      <c r="B21" s="43" t="s">
        <v>47</v>
      </c>
      <c r="C21" s="70" t="s">
        <v>56</v>
      </c>
      <c r="D21" s="71">
        <v>2456</v>
      </c>
      <c r="E21" s="72">
        <v>5</v>
      </c>
      <c r="F21" s="72">
        <v>667</v>
      </c>
      <c r="G21" s="68"/>
      <c r="H21" s="68"/>
      <c r="I21" s="68"/>
    </row>
    <row r="22" spans="2:9" x14ac:dyDescent="0.3">
      <c r="B22" s="43" t="s">
        <v>48</v>
      </c>
      <c r="C22" s="70" t="s">
        <v>58</v>
      </c>
      <c r="D22" s="71">
        <v>322</v>
      </c>
      <c r="E22" s="72">
        <v>6</v>
      </c>
      <c r="F22" s="72">
        <v>4346</v>
      </c>
      <c r="G22" s="68"/>
      <c r="H22" s="68"/>
      <c r="I22" s="68"/>
    </row>
    <row r="23" spans="2:9" x14ac:dyDescent="0.3">
      <c r="B23" s="14" t="s">
        <v>64</v>
      </c>
      <c r="C23" s="70" t="s">
        <v>57</v>
      </c>
      <c r="D23" s="71">
        <v>122</v>
      </c>
      <c r="E23" s="72">
        <v>78</v>
      </c>
      <c r="F23" s="72">
        <v>3322</v>
      </c>
      <c r="G23" s="68"/>
      <c r="H23" s="68"/>
      <c r="I23" s="68"/>
    </row>
    <row r="24" spans="2:9" x14ac:dyDescent="0.3">
      <c r="B24" s="68"/>
      <c r="C24" s="66"/>
      <c r="D24" s="67"/>
      <c r="E24" s="68"/>
      <c r="F24" s="68"/>
      <c r="G24" s="68"/>
      <c r="H24" s="68"/>
      <c r="I24" s="68"/>
    </row>
    <row r="25" spans="2:9" x14ac:dyDescent="0.3">
      <c r="B25" s="65"/>
      <c r="C25" s="66"/>
      <c r="D25" s="67"/>
      <c r="E25" s="68"/>
      <c r="F25" s="68"/>
      <c r="G25" s="68"/>
      <c r="H25" s="68"/>
      <c r="I25" s="68"/>
    </row>
    <row r="26" spans="2:9" x14ac:dyDescent="0.3">
      <c r="B26" s="65"/>
      <c r="C26" s="66"/>
      <c r="D26" s="67"/>
      <c r="E26" s="68"/>
      <c r="F26" s="68"/>
      <c r="G26" s="68"/>
      <c r="H26" s="68"/>
      <c r="I26" s="68"/>
    </row>
    <row r="27" spans="2:9" x14ac:dyDescent="0.3">
      <c r="B27" s="65"/>
      <c r="C27" s="66"/>
      <c r="D27" s="67"/>
      <c r="E27" s="68"/>
      <c r="F27" s="68"/>
      <c r="G27" s="68"/>
      <c r="H27" s="68"/>
      <c r="I27" s="68"/>
    </row>
    <row r="28" spans="2:9" x14ac:dyDescent="0.3">
      <c r="B28" s="65"/>
      <c r="C28" s="66"/>
      <c r="D28" s="67"/>
      <c r="E28" s="68"/>
      <c r="F28" s="68"/>
      <c r="G28" s="68"/>
      <c r="H28" s="68"/>
      <c r="I28" s="68"/>
    </row>
    <row r="29" spans="2:9" x14ac:dyDescent="0.3">
      <c r="B29" s="68"/>
      <c r="C29" s="69"/>
      <c r="D29" s="67"/>
      <c r="E29" s="68"/>
      <c r="F29" s="68"/>
      <c r="G29" s="68"/>
      <c r="H29" s="68"/>
      <c r="I29" s="68"/>
    </row>
    <row r="30" spans="2:9" x14ac:dyDescent="0.3">
      <c r="B30" s="68"/>
      <c r="C30" s="69"/>
      <c r="D30" s="67"/>
      <c r="E30" s="68"/>
      <c r="F30" s="68"/>
      <c r="G30" s="68"/>
      <c r="H30" s="68"/>
      <c r="I30" s="68"/>
    </row>
    <row r="31" spans="2:9" x14ac:dyDescent="0.3">
      <c r="B31" s="68"/>
      <c r="C31" s="69"/>
      <c r="D31" s="67"/>
      <c r="E31" s="68"/>
      <c r="F31" s="68"/>
      <c r="G31" s="68"/>
      <c r="H31" s="68"/>
      <c r="I31" s="68"/>
    </row>
    <row r="32" spans="2:9" x14ac:dyDescent="0.3">
      <c r="B32" s="68"/>
      <c r="C32" s="69"/>
      <c r="D32" s="67"/>
      <c r="E32" s="68"/>
      <c r="F32" s="68"/>
      <c r="G32" s="68"/>
      <c r="H32" s="68"/>
      <c r="I32" s="68"/>
    </row>
    <row r="33" spans="2:9" x14ac:dyDescent="0.3">
      <c r="B33" s="68"/>
      <c r="C33" s="69"/>
      <c r="D33" s="67"/>
      <c r="E33" s="68"/>
      <c r="F33" s="68"/>
      <c r="G33" s="68"/>
      <c r="H33" s="68"/>
      <c r="I33" s="68"/>
    </row>
    <row r="34" spans="2:9" x14ac:dyDescent="0.3">
      <c r="B34" s="68"/>
      <c r="C34" s="69"/>
      <c r="D34" s="67"/>
      <c r="E34" s="68"/>
      <c r="F34" s="68"/>
      <c r="G34" s="68"/>
      <c r="H34" s="68"/>
      <c r="I34" s="68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24226-D53B-47F3-A2EF-58B0025865AF}">
  <sheetPr codeName="Planilha2"/>
  <dimension ref="A1:D19"/>
  <sheetViews>
    <sheetView topLeftCell="A2" workbookViewId="0">
      <selection activeCell="Q18" sqref="Q18"/>
    </sheetView>
  </sheetViews>
  <sheetFormatPr defaultRowHeight="14.4" x14ac:dyDescent="0.3"/>
  <cols>
    <col min="1" max="1" width="27.77734375" bestFit="1" customWidth="1"/>
    <col min="2" max="2" width="14.88671875" bestFit="1" customWidth="1"/>
    <col min="3" max="3" width="16.6640625" bestFit="1" customWidth="1"/>
    <col min="4" max="4" width="14.33203125" bestFit="1" customWidth="1"/>
  </cols>
  <sheetData>
    <row r="1" spans="1:4" x14ac:dyDescent="0.3">
      <c r="A1" s="119" t="s">
        <v>102</v>
      </c>
      <c r="B1" t="s">
        <v>147</v>
      </c>
    </row>
    <row r="3" spans="1:4" x14ac:dyDescent="0.3">
      <c r="B3" s="119" t="s">
        <v>21</v>
      </c>
    </row>
    <row r="4" spans="1:4" x14ac:dyDescent="0.3">
      <c r="A4" s="119" t="s">
        <v>101</v>
      </c>
      <c r="B4" t="s">
        <v>148</v>
      </c>
      <c r="C4" t="s">
        <v>149</v>
      </c>
      <c r="D4" t="s">
        <v>150</v>
      </c>
    </row>
    <row r="5" spans="1:4" x14ac:dyDescent="0.3">
      <c r="A5" t="s">
        <v>47</v>
      </c>
      <c r="B5" s="120">
        <v>2456</v>
      </c>
      <c r="C5" s="120">
        <v>5</v>
      </c>
      <c r="D5" s="120">
        <v>667</v>
      </c>
    </row>
    <row r="6" spans="1:4" x14ac:dyDescent="0.3">
      <c r="A6" t="s">
        <v>60</v>
      </c>
      <c r="B6" s="120">
        <v>333</v>
      </c>
      <c r="C6" s="120">
        <v>223</v>
      </c>
      <c r="D6" s="120">
        <v>432</v>
      </c>
    </row>
    <row r="7" spans="1:4" x14ac:dyDescent="0.3">
      <c r="A7" t="s">
        <v>48</v>
      </c>
      <c r="B7" s="120">
        <v>322</v>
      </c>
      <c r="C7" s="120">
        <v>6</v>
      </c>
      <c r="D7" s="120">
        <v>4346</v>
      </c>
    </row>
    <row r="8" spans="1:4" x14ac:dyDescent="0.3">
      <c r="A8" s="121" t="s">
        <v>42</v>
      </c>
      <c r="B8" s="120">
        <v>3456</v>
      </c>
      <c r="C8" s="120">
        <v>121</v>
      </c>
      <c r="D8" s="120">
        <v>32</v>
      </c>
    </row>
    <row r="9" spans="1:4" x14ac:dyDescent="0.3">
      <c r="A9" t="s">
        <v>50</v>
      </c>
      <c r="B9" s="120">
        <v>456</v>
      </c>
      <c r="C9" s="120">
        <v>5534</v>
      </c>
      <c r="D9" s="120">
        <v>23432</v>
      </c>
    </row>
    <row r="10" spans="1:4" x14ac:dyDescent="0.3">
      <c r="A10" t="s">
        <v>61</v>
      </c>
      <c r="B10" s="120">
        <v>3235</v>
      </c>
      <c r="C10" s="120">
        <v>2</v>
      </c>
      <c r="D10" s="120">
        <v>32</v>
      </c>
    </row>
    <row r="11" spans="1:4" x14ac:dyDescent="0.3">
      <c r="A11" t="s">
        <v>44</v>
      </c>
      <c r="B11" s="120">
        <v>4332</v>
      </c>
      <c r="C11" s="120">
        <v>5</v>
      </c>
      <c r="D11" s="120">
        <v>453</v>
      </c>
    </row>
    <row r="12" spans="1:4" x14ac:dyDescent="0.3">
      <c r="A12" t="s">
        <v>43</v>
      </c>
      <c r="B12" s="120">
        <v>4656</v>
      </c>
      <c r="C12" s="120">
        <v>4</v>
      </c>
      <c r="D12" s="120">
        <v>1234</v>
      </c>
    </row>
    <row r="13" spans="1:4" x14ac:dyDescent="0.3">
      <c r="A13" t="s">
        <v>46</v>
      </c>
      <c r="B13" s="120">
        <v>234</v>
      </c>
      <c r="C13" s="120">
        <v>5</v>
      </c>
      <c r="D13" s="120">
        <v>543</v>
      </c>
    </row>
    <row r="14" spans="1:4" x14ac:dyDescent="0.3">
      <c r="A14" t="s">
        <v>45</v>
      </c>
      <c r="B14" s="120">
        <v>21</v>
      </c>
      <c r="C14" s="120">
        <v>54</v>
      </c>
      <c r="D14" s="120">
        <v>543</v>
      </c>
    </row>
    <row r="15" spans="1:4" x14ac:dyDescent="0.3">
      <c r="A15" t="s">
        <v>51</v>
      </c>
      <c r="B15" s="120">
        <v>1234</v>
      </c>
      <c r="C15" s="120">
        <v>5</v>
      </c>
      <c r="D15" s="120">
        <v>32</v>
      </c>
    </row>
    <row r="16" spans="1:4" x14ac:dyDescent="0.3">
      <c r="A16" t="s">
        <v>63</v>
      </c>
      <c r="B16" s="120">
        <v>455</v>
      </c>
      <c r="C16" s="120">
        <v>4</v>
      </c>
      <c r="D16" s="120">
        <v>24</v>
      </c>
    </row>
    <row r="17" spans="1:4" x14ac:dyDescent="0.3">
      <c r="A17" t="s">
        <v>52</v>
      </c>
      <c r="B17" s="120">
        <v>9876</v>
      </c>
      <c r="C17" s="120">
        <v>656</v>
      </c>
      <c r="D17" s="120">
        <v>32</v>
      </c>
    </row>
    <row r="18" spans="1:4" x14ac:dyDescent="0.3">
      <c r="A18" t="s">
        <v>64</v>
      </c>
      <c r="B18" s="120">
        <v>122</v>
      </c>
      <c r="C18" s="120">
        <v>78</v>
      </c>
      <c r="D18" s="120">
        <v>3322</v>
      </c>
    </row>
    <row r="19" spans="1:4" x14ac:dyDescent="0.3">
      <c r="A19" t="s">
        <v>146</v>
      </c>
      <c r="B19" s="120">
        <v>31188</v>
      </c>
      <c r="C19" s="120">
        <v>6702</v>
      </c>
      <c r="D19" s="120">
        <v>35124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9"/>
  <dimension ref="B1:L22"/>
  <sheetViews>
    <sheetView showGridLines="0" workbookViewId="0">
      <selection activeCell="F11" sqref="F11:F18"/>
    </sheetView>
  </sheetViews>
  <sheetFormatPr defaultRowHeight="14.4" x14ac:dyDescent="0.3"/>
  <cols>
    <col min="1" max="1" width="4.6640625" customWidth="1"/>
    <col min="2" max="2" width="8.33203125" customWidth="1"/>
    <col min="3" max="3" width="26.5546875" customWidth="1"/>
    <col min="4" max="4" width="4" customWidth="1"/>
    <col min="5" max="5" width="7.5546875" customWidth="1"/>
    <col min="6" max="6" width="27.5546875" customWidth="1"/>
    <col min="7" max="7" width="4" customWidth="1"/>
    <col min="8" max="8" width="23.33203125" customWidth="1"/>
  </cols>
  <sheetData>
    <row r="1" spans="2:12" ht="13.5" customHeight="1" x14ac:dyDescent="0.3"/>
    <row r="3" spans="2:12" x14ac:dyDescent="0.3">
      <c r="G3" s="59" t="s">
        <v>87</v>
      </c>
      <c r="H3" s="49"/>
      <c r="I3" s="49"/>
      <c r="J3" s="49"/>
    </row>
    <row r="4" spans="2:12" x14ac:dyDescent="0.3">
      <c r="C4" s="74"/>
      <c r="G4" s="59" t="s">
        <v>88</v>
      </c>
      <c r="H4" s="49"/>
      <c r="I4" s="49"/>
      <c r="J4" s="49"/>
    </row>
    <row r="5" spans="2:12" x14ac:dyDescent="0.3">
      <c r="G5" s="59" t="s">
        <v>89</v>
      </c>
      <c r="H5" s="49"/>
      <c r="I5" s="49"/>
      <c r="J5" s="49"/>
    </row>
    <row r="7" spans="2:12" ht="27.75" customHeight="1" thickBot="1" x14ac:dyDescent="0.35"/>
    <row r="8" spans="2:12" ht="15" hidden="1" thickBot="1" x14ac:dyDescent="0.35"/>
    <row r="9" spans="2:12" ht="15" thickBot="1" x14ac:dyDescent="0.35">
      <c r="B9" s="190" t="s">
        <v>71</v>
      </c>
      <c r="C9" s="191"/>
      <c r="D9" s="48"/>
      <c r="E9" s="190" t="s">
        <v>90</v>
      </c>
      <c r="F9" s="191"/>
      <c r="G9" s="49"/>
      <c r="H9" s="75" t="s">
        <v>72</v>
      </c>
    </row>
    <row r="10" spans="2:12" x14ac:dyDescent="0.3">
      <c r="B10" s="103" t="s">
        <v>73</v>
      </c>
      <c r="C10" s="104" t="s">
        <v>74</v>
      </c>
      <c r="D10" s="50"/>
      <c r="E10" s="103" t="s">
        <v>73</v>
      </c>
      <c r="F10" s="104" t="s">
        <v>74</v>
      </c>
      <c r="G10" s="49"/>
      <c r="H10" s="105" t="s">
        <v>21</v>
      </c>
    </row>
    <row r="11" spans="2:12" x14ac:dyDescent="0.3">
      <c r="B11" s="51" t="s">
        <v>75</v>
      </c>
      <c r="C11" s="52">
        <v>45678</v>
      </c>
      <c r="D11" s="49"/>
      <c r="E11" s="51" t="s">
        <v>75</v>
      </c>
      <c r="F11" s="52">
        <v>49876</v>
      </c>
      <c r="G11" s="53"/>
      <c r="H11" s="54">
        <v>65000</v>
      </c>
    </row>
    <row r="12" spans="2:12" x14ac:dyDescent="0.3">
      <c r="B12" s="51" t="s">
        <v>76</v>
      </c>
      <c r="C12" s="55">
        <v>66534</v>
      </c>
      <c r="D12" s="49"/>
      <c r="E12" s="51" t="s">
        <v>76</v>
      </c>
      <c r="F12" s="55">
        <v>59043</v>
      </c>
      <c r="G12" s="53"/>
      <c r="H12" s="54">
        <v>45000</v>
      </c>
      <c r="L12" s="76"/>
    </row>
    <row r="13" spans="2:12" x14ac:dyDescent="0.3">
      <c r="B13" s="51" t="s">
        <v>77</v>
      </c>
      <c r="C13" s="55">
        <v>49876</v>
      </c>
      <c r="D13" s="49"/>
      <c r="E13" s="51" t="s">
        <v>77</v>
      </c>
      <c r="F13" s="55">
        <v>53456</v>
      </c>
      <c r="G13" s="53"/>
      <c r="H13" s="54">
        <v>40000</v>
      </c>
    </row>
    <row r="14" spans="2:12" x14ac:dyDescent="0.3">
      <c r="B14" s="51" t="s">
        <v>78</v>
      </c>
      <c r="C14" s="55">
        <v>25678</v>
      </c>
      <c r="D14" s="49"/>
      <c r="E14" s="51" t="s">
        <v>78</v>
      </c>
      <c r="F14" s="55">
        <v>34599</v>
      </c>
      <c r="G14" s="53"/>
      <c r="H14" s="54">
        <v>40000</v>
      </c>
    </row>
    <row r="15" spans="2:12" x14ac:dyDescent="0.3">
      <c r="B15" s="51" t="s">
        <v>79</v>
      </c>
      <c r="C15" s="55">
        <v>12253</v>
      </c>
      <c r="D15" s="49"/>
      <c r="E15" s="51" t="s">
        <v>79</v>
      </c>
      <c r="F15" s="55">
        <v>17234</v>
      </c>
      <c r="G15" s="49"/>
      <c r="H15" s="54">
        <v>30000</v>
      </c>
    </row>
    <row r="16" spans="2:12" x14ac:dyDescent="0.3">
      <c r="B16" s="51" t="s">
        <v>80</v>
      </c>
      <c r="C16" s="55">
        <v>19854</v>
      </c>
      <c r="D16" s="49"/>
      <c r="E16" s="51" t="s">
        <v>80</v>
      </c>
      <c r="F16" s="55">
        <v>28903</v>
      </c>
      <c r="G16" s="49"/>
      <c r="H16" s="54">
        <v>25000</v>
      </c>
    </row>
    <row r="17" spans="2:8" x14ac:dyDescent="0.3">
      <c r="B17" s="51" t="s">
        <v>81</v>
      </c>
      <c r="C17" s="55">
        <v>76543</v>
      </c>
      <c r="D17" s="49"/>
      <c r="E17" s="51" t="s">
        <v>81</v>
      </c>
      <c r="F17" s="55">
        <v>66321</v>
      </c>
      <c r="G17" s="49"/>
      <c r="H17" s="54">
        <v>60000</v>
      </c>
    </row>
    <row r="18" spans="2:8" x14ac:dyDescent="0.3">
      <c r="B18" s="51" t="s">
        <v>82</v>
      </c>
      <c r="C18" s="55">
        <v>45329</v>
      </c>
      <c r="D18" s="49"/>
      <c r="E18" s="51" t="s">
        <v>82</v>
      </c>
      <c r="F18" s="55">
        <v>43234</v>
      </c>
      <c r="G18" s="49"/>
      <c r="H18" s="54">
        <v>35000</v>
      </c>
    </row>
    <row r="19" spans="2:8" x14ac:dyDescent="0.3">
      <c r="B19" s="51" t="s">
        <v>83</v>
      </c>
      <c r="C19" s="55">
        <v>99876</v>
      </c>
      <c r="D19" s="49"/>
      <c r="E19" s="51" t="s">
        <v>83</v>
      </c>
      <c r="F19" s="55">
        <v>87654</v>
      </c>
      <c r="G19" s="49"/>
      <c r="H19" s="54">
        <v>80000</v>
      </c>
    </row>
    <row r="20" spans="2:8" x14ac:dyDescent="0.3">
      <c r="B20" s="51" t="s">
        <v>84</v>
      </c>
      <c r="C20" s="55">
        <v>66543</v>
      </c>
      <c r="D20" s="49"/>
      <c r="E20" s="51" t="s">
        <v>84</v>
      </c>
      <c r="F20" s="55">
        <v>74987</v>
      </c>
      <c r="G20" s="49"/>
      <c r="H20" s="54">
        <v>80000</v>
      </c>
    </row>
    <row r="21" spans="2:8" x14ac:dyDescent="0.3">
      <c r="B21" s="51" t="s">
        <v>85</v>
      </c>
      <c r="C21" s="55">
        <v>124345</v>
      </c>
      <c r="D21" s="49"/>
      <c r="E21" s="51" t="s">
        <v>85</v>
      </c>
      <c r="F21" s="55">
        <v>144567</v>
      </c>
      <c r="G21" s="49"/>
      <c r="H21" s="54">
        <v>150000</v>
      </c>
    </row>
    <row r="22" spans="2:8" ht="15" thickBot="1" x14ac:dyDescent="0.35">
      <c r="B22" s="56" t="s">
        <v>86</v>
      </c>
      <c r="C22" s="57">
        <v>189773</v>
      </c>
      <c r="D22" s="49"/>
      <c r="E22" s="56" t="s">
        <v>86</v>
      </c>
      <c r="F22" s="57">
        <v>175876</v>
      </c>
      <c r="G22" s="49"/>
      <c r="H22" s="58">
        <v>180000</v>
      </c>
    </row>
  </sheetData>
  <mergeCells count="2">
    <mergeCell ref="B9:C9"/>
    <mergeCell ref="E9:F9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B7:Q34"/>
  <sheetViews>
    <sheetView showGridLines="0" topLeftCell="A4" zoomScale="90" zoomScaleNormal="90" workbookViewId="0">
      <selection activeCell="K16" sqref="K16"/>
    </sheetView>
  </sheetViews>
  <sheetFormatPr defaultRowHeight="14.4" x14ac:dyDescent="0.3"/>
  <cols>
    <col min="1" max="1" width="4.44140625" customWidth="1"/>
    <col min="2" max="2" width="13.33203125" customWidth="1"/>
    <col min="3" max="3" width="30.5546875" customWidth="1"/>
    <col min="4" max="4" width="14.44140625" customWidth="1"/>
    <col min="5" max="5" width="14" customWidth="1"/>
    <col min="6" max="6" width="3.109375" customWidth="1"/>
    <col min="7" max="7" width="12" bestFit="1" customWidth="1"/>
    <col min="8" max="8" width="31.109375" bestFit="1" customWidth="1"/>
    <col min="9" max="9" width="57.6640625" customWidth="1"/>
    <col min="10" max="10" width="18.5546875" customWidth="1"/>
    <col min="11" max="11" width="58.5546875" customWidth="1"/>
    <col min="12" max="12" width="21.44140625" customWidth="1"/>
    <col min="13" max="14" width="16.44140625" customWidth="1"/>
    <col min="15" max="15" width="21.88671875" customWidth="1"/>
    <col min="16" max="16" width="14.44140625" customWidth="1"/>
    <col min="17" max="17" width="14" customWidth="1"/>
  </cols>
  <sheetData>
    <row r="7" spans="2:17" ht="15" thickBot="1" x14ac:dyDescent="0.35">
      <c r="M7" s="121"/>
    </row>
    <row r="8" spans="2:17" ht="32.25" customHeight="1" x14ac:dyDescent="0.3">
      <c r="B8" s="77" t="s">
        <v>41</v>
      </c>
      <c r="C8" s="78" t="s">
        <v>14</v>
      </c>
      <c r="D8" s="78" t="s">
        <v>17</v>
      </c>
      <c r="E8" s="79" t="s">
        <v>15</v>
      </c>
      <c r="G8" s="77" t="s">
        <v>124</v>
      </c>
      <c r="H8" s="78" t="s">
        <v>117</v>
      </c>
      <c r="I8" s="78" t="s">
        <v>118</v>
      </c>
      <c r="J8" s="79" t="s">
        <v>119</v>
      </c>
      <c r="K8" s="79" t="s">
        <v>120</v>
      </c>
      <c r="L8" s="79" t="s">
        <v>121</v>
      </c>
      <c r="M8" s="108" t="s">
        <v>123</v>
      </c>
      <c r="N8" s="108" t="s">
        <v>151</v>
      </c>
      <c r="O8" s="79" t="s">
        <v>122</v>
      </c>
      <c r="P8" s="108" t="s">
        <v>125</v>
      </c>
      <c r="Q8" s="108" t="s">
        <v>126</v>
      </c>
    </row>
    <row r="9" spans="2:17" ht="15.9" customHeight="1" x14ac:dyDescent="0.3">
      <c r="B9" s="42">
        <v>2000</v>
      </c>
      <c r="C9" s="43" t="s">
        <v>50</v>
      </c>
      <c r="D9" s="45">
        <v>65</v>
      </c>
      <c r="E9" s="15" t="s">
        <v>56</v>
      </c>
      <c r="G9" s="42">
        <v>198760</v>
      </c>
      <c r="H9" s="43" t="s">
        <v>152</v>
      </c>
      <c r="I9" s="45" t="s">
        <v>153</v>
      </c>
      <c r="J9" s="15" t="s">
        <v>154</v>
      </c>
      <c r="K9" s="15" t="s">
        <v>155</v>
      </c>
      <c r="L9" s="15" t="s">
        <v>156</v>
      </c>
      <c r="M9" s="109" t="s">
        <v>157</v>
      </c>
      <c r="N9" s="109" t="s">
        <v>158</v>
      </c>
      <c r="O9" s="112">
        <v>120</v>
      </c>
      <c r="P9" s="110">
        <v>43902</v>
      </c>
      <c r="Q9" s="111">
        <v>0.48108796296296297</v>
      </c>
    </row>
    <row r="10" spans="2:17" ht="15.9" customHeight="1" x14ac:dyDescent="0.3">
      <c r="B10" s="42">
        <v>2001</v>
      </c>
      <c r="C10" s="43" t="s">
        <v>60</v>
      </c>
      <c r="D10" s="45">
        <v>399</v>
      </c>
      <c r="E10" s="15" t="s">
        <v>56</v>
      </c>
      <c r="G10" s="42">
        <v>198761</v>
      </c>
      <c r="H10" s="43" t="s">
        <v>159</v>
      </c>
      <c r="I10" s="45" t="s">
        <v>160</v>
      </c>
      <c r="J10" s="15" t="s">
        <v>159</v>
      </c>
      <c r="K10" s="15" t="s">
        <v>161</v>
      </c>
      <c r="L10" s="15" t="s">
        <v>156</v>
      </c>
      <c r="M10" s="15" t="s">
        <v>157</v>
      </c>
      <c r="N10" s="15" t="s">
        <v>162</v>
      </c>
      <c r="O10" s="112">
        <v>5500</v>
      </c>
      <c r="P10" s="110">
        <v>43902</v>
      </c>
      <c r="Q10" s="111">
        <v>0.48241898148148149</v>
      </c>
    </row>
    <row r="11" spans="2:17" ht="15.9" customHeight="1" x14ac:dyDescent="0.3">
      <c r="B11" s="42">
        <v>2002</v>
      </c>
      <c r="C11" s="43" t="s">
        <v>61</v>
      </c>
      <c r="D11" s="45">
        <v>1890</v>
      </c>
      <c r="E11" s="15" t="s">
        <v>56</v>
      </c>
      <c r="G11" s="42">
        <v>198762</v>
      </c>
      <c r="H11" s="43" t="s">
        <v>163</v>
      </c>
      <c r="I11" s="45" t="s">
        <v>164</v>
      </c>
      <c r="J11" s="15" t="s">
        <v>163</v>
      </c>
      <c r="K11" s="15" t="s">
        <v>165</v>
      </c>
      <c r="L11" s="15" t="s">
        <v>156</v>
      </c>
      <c r="M11" s="15" t="s">
        <v>166</v>
      </c>
      <c r="N11" s="15" t="s">
        <v>167</v>
      </c>
      <c r="O11" s="112">
        <v>6600000</v>
      </c>
      <c r="P11" s="110">
        <v>43902</v>
      </c>
      <c r="Q11" s="111">
        <v>0.4906712962962963</v>
      </c>
    </row>
    <row r="12" spans="2:17" ht="15.9" customHeight="1" x14ac:dyDescent="0.3">
      <c r="B12" s="42">
        <v>2003</v>
      </c>
      <c r="C12" s="43" t="s">
        <v>42</v>
      </c>
      <c r="D12" s="45">
        <v>550</v>
      </c>
      <c r="E12" s="15" t="s">
        <v>56</v>
      </c>
      <c r="G12" s="42">
        <v>198763</v>
      </c>
      <c r="H12" s="43" t="s">
        <v>168</v>
      </c>
      <c r="I12" s="45" t="s">
        <v>169</v>
      </c>
      <c r="J12" s="15" t="s">
        <v>170</v>
      </c>
      <c r="K12" s="15" t="s">
        <v>171</v>
      </c>
      <c r="L12" s="15" t="s">
        <v>156</v>
      </c>
      <c r="M12" s="15" t="s">
        <v>172</v>
      </c>
      <c r="N12" s="15" t="s">
        <v>173</v>
      </c>
      <c r="O12" s="106">
        <v>1890000</v>
      </c>
      <c r="P12" s="110">
        <v>43902</v>
      </c>
      <c r="Q12" s="111">
        <v>0.49601851851851847</v>
      </c>
    </row>
    <row r="13" spans="2:17" ht="15.9" customHeight="1" x14ac:dyDescent="0.3">
      <c r="B13" s="42">
        <v>2004</v>
      </c>
      <c r="C13" s="14" t="s">
        <v>51</v>
      </c>
      <c r="D13" s="45">
        <v>1499</v>
      </c>
      <c r="E13" s="15" t="s">
        <v>57</v>
      </c>
      <c r="G13" s="42">
        <v>198764</v>
      </c>
      <c r="H13" s="14" t="s">
        <v>174</v>
      </c>
      <c r="I13" s="45" t="s">
        <v>175</v>
      </c>
      <c r="J13" s="15" t="s">
        <v>176</v>
      </c>
      <c r="K13" s="15" t="s">
        <v>177</v>
      </c>
      <c r="L13" s="15" t="s">
        <v>156</v>
      </c>
      <c r="M13" s="15" t="s">
        <v>178</v>
      </c>
      <c r="N13" s="15" t="s">
        <v>179</v>
      </c>
      <c r="O13" s="106">
        <v>1450</v>
      </c>
      <c r="P13" s="110">
        <v>43916</v>
      </c>
      <c r="Q13" s="111">
        <v>0.67047453703703708</v>
      </c>
    </row>
    <row r="14" spans="2:17" ht="15.9" customHeight="1" x14ac:dyDescent="0.3">
      <c r="B14" s="42">
        <v>2005</v>
      </c>
      <c r="C14" s="43" t="s">
        <v>52</v>
      </c>
      <c r="D14" s="45">
        <v>125</v>
      </c>
      <c r="E14" s="15" t="s">
        <v>57</v>
      </c>
      <c r="G14" s="42">
        <v>198765</v>
      </c>
      <c r="H14" s="43" t="s">
        <v>180</v>
      </c>
      <c r="I14" s="45" t="s">
        <v>181</v>
      </c>
      <c r="J14" s="15" t="s">
        <v>182</v>
      </c>
      <c r="K14" s="15" t="s">
        <v>177</v>
      </c>
      <c r="L14" s="15" t="s">
        <v>156</v>
      </c>
      <c r="M14" s="15" t="s">
        <v>178</v>
      </c>
      <c r="N14" s="15" t="s">
        <v>179</v>
      </c>
      <c r="O14" s="106">
        <v>1450</v>
      </c>
      <c r="P14" s="110">
        <v>43958</v>
      </c>
      <c r="Q14" s="111">
        <v>0.40584490740740736</v>
      </c>
    </row>
    <row r="15" spans="2:17" ht="15.9" customHeight="1" x14ac:dyDescent="0.3">
      <c r="B15" s="42">
        <v>2006</v>
      </c>
      <c r="C15" s="43" t="s">
        <v>43</v>
      </c>
      <c r="D15" s="45">
        <v>29</v>
      </c>
      <c r="E15" s="15" t="s">
        <v>56</v>
      </c>
      <c r="G15" s="42">
        <v>198766</v>
      </c>
      <c r="H15" s="43" t="s">
        <v>183</v>
      </c>
      <c r="I15" s="45" t="s">
        <v>184</v>
      </c>
      <c r="J15" s="15" t="s">
        <v>185</v>
      </c>
      <c r="K15" s="15" t="s">
        <v>186</v>
      </c>
      <c r="L15" s="15" t="s">
        <v>187</v>
      </c>
      <c r="M15" s="15" t="s">
        <v>157</v>
      </c>
      <c r="N15" s="15" t="s">
        <v>188</v>
      </c>
      <c r="O15" s="106">
        <v>31200</v>
      </c>
      <c r="P15" s="110">
        <v>43958</v>
      </c>
      <c r="Q15" s="111">
        <v>0.42837962962962961</v>
      </c>
    </row>
    <row r="16" spans="2:17" ht="15.9" customHeight="1" x14ac:dyDescent="0.3">
      <c r="B16" s="42">
        <v>2007</v>
      </c>
      <c r="C16" s="43" t="s">
        <v>44</v>
      </c>
      <c r="D16" s="45">
        <v>3120</v>
      </c>
      <c r="E16" s="15" t="s">
        <v>56</v>
      </c>
      <c r="G16" s="42">
        <v>198767</v>
      </c>
      <c r="H16" s="43" t="s">
        <v>189</v>
      </c>
      <c r="I16" s="45" t="s">
        <v>190</v>
      </c>
      <c r="J16" s="15" t="s">
        <v>191</v>
      </c>
      <c r="K16" s="15" t="s">
        <v>161</v>
      </c>
      <c r="L16" s="15" t="s">
        <v>187</v>
      </c>
      <c r="M16" s="15" t="s">
        <v>178</v>
      </c>
      <c r="N16" s="15" t="s">
        <v>162</v>
      </c>
      <c r="O16" s="106">
        <v>27500</v>
      </c>
      <c r="P16" s="110">
        <v>43958</v>
      </c>
      <c r="Q16" s="111">
        <v>0.49372685185185183</v>
      </c>
    </row>
    <row r="17" spans="2:17" ht="15.9" customHeight="1" x14ac:dyDescent="0.3">
      <c r="B17" s="42">
        <v>2008</v>
      </c>
      <c r="C17" s="43" t="s">
        <v>63</v>
      </c>
      <c r="D17" s="45">
        <v>145</v>
      </c>
      <c r="E17" s="15" t="s">
        <v>56</v>
      </c>
      <c r="G17" s="42"/>
      <c r="H17" s="43"/>
      <c r="I17" s="45"/>
      <c r="J17" s="15"/>
      <c r="K17" s="15"/>
      <c r="L17" s="15"/>
      <c r="M17" s="15"/>
      <c r="N17" s="15"/>
      <c r="O17" s="106"/>
      <c r="P17" s="15"/>
      <c r="Q17" s="15"/>
    </row>
    <row r="18" spans="2:17" ht="15.9" customHeight="1" x14ac:dyDescent="0.3">
      <c r="B18" s="42">
        <v>2009</v>
      </c>
      <c r="C18" s="43" t="s">
        <v>45</v>
      </c>
      <c r="D18" s="45">
        <v>120</v>
      </c>
      <c r="E18" s="15" t="s">
        <v>56</v>
      </c>
      <c r="G18" s="42"/>
      <c r="H18" s="43"/>
      <c r="I18" s="45"/>
      <c r="J18" s="15"/>
      <c r="K18" s="15"/>
      <c r="L18" s="15"/>
      <c r="M18" s="15"/>
      <c r="N18" s="15"/>
      <c r="O18" s="106"/>
      <c r="P18" s="15"/>
      <c r="Q18" s="15"/>
    </row>
    <row r="19" spans="2:17" ht="15.9" customHeight="1" x14ac:dyDescent="0.3">
      <c r="B19" s="42">
        <v>2010</v>
      </c>
      <c r="C19" s="43" t="s">
        <v>46</v>
      </c>
      <c r="D19" s="45">
        <v>98</v>
      </c>
      <c r="E19" s="15" t="s">
        <v>56</v>
      </c>
      <c r="G19" s="42"/>
      <c r="H19" s="43"/>
      <c r="I19" s="45"/>
      <c r="J19" s="15"/>
      <c r="K19" s="15"/>
      <c r="L19" s="15"/>
      <c r="M19" s="15"/>
      <c r="N19" s="15"/>
      <c r="O19" s="106"/>
      <c r="P19" s="15"/>
      <c r="Q19" s="15"/>
    </row>
    <row r="20" spans="2:17" ht="15.9" customHeight="1" x14ac:dyDescent="0.3">
      <c r="B20" s="42">
        <v>2011</v>
      </c>
      <c r="C20" s="43" t="s">
        <v>47</v>
      </c>
      <c r="D20" s="45">
        <v>35</v>
      </c>
      <c r="E20" s="15" t="s">
        <v>56</v>
      </c>
      <c r="G20" s="42"/>
      <c r="H20" s="43"/>
      <c r="I20" s="45"/>
      <c r="J20" s="15"/>
      <c r="K20" s="15"/>
      <c r="L20" s="15"/>
      <c r="M20" s="15"/>
      <c r="N20" s="15"/>
      <c r="O20" s="106"/>
      <c r="P20" s="15"/>
      <c r="Q20" s="15"/>
    </row>
    <row r="21" spans="2:17" ht="15.9" customHeight="1" x14ac:dyDescent="0.3">
      <c r="B21" s="42">
        <v>2012</v>
      </c>
      <c r="C21" s="43" t="s">
        <v>48</v>
      </c>
      <c r="D21" s="45">
        <v>235</v>
      </c>
      <c r="E21" s="15" t="s">
        <v>58</v>
      </c>
      <c r="G21" s="42"/>
      <c r="H21" s="43"/>
      <c r="I21" s="45"/>
      <c r="J21" s="15"/>
      <c r="K21" s="15"/>
      <c r="L21" s="15"/>
      <c r="M21" s="15"/>
      <c r="N21" s="15"/>
      <c r="O21" s="106"/>
      <c r="P21" s="15"/>
      <c r="Q21" s="15"/>
    </row>
    <row r="22" spans="2:17" ht="15.9" customHeight="1" x14ac:dyDescent="0.3">
      <c r="B22" s="42">
        <v>2013</v>
      </c>
      <c r="C22" t="s">
        <v>64</v>
      </c>
      <c r="D22" s="45">
        <v>12</v>
      </c>
      <c r="E22" s="15" t="s">
        <v>57</v>
      </c>
      <c r="G22" s="42"/>
      <c r="I22" s="45"/>
      <c r="J22" s="15"/>
      <c r="K22" s="15"/>
      <c r="L22" s="15"/>
      <c r="M22" s="15"/>
      <c r="N22" s="15"/>
      <c r="O22" s="106"/>
      <c r="P22" s="15"/>
      <c r="Q22" s="15"/>
    </row>
    <row r="23" spans="2:17" ht="15.9" customHeight="1" x14ac:dyDescent="0.3">
      <c r="B23" s="42">
        <v>2014</v>
      </c>
      <c r="C23" s="43" t="s">
        <v>54</v>
      </c>
      <c r="D23" s="45">
        <v>3190</v>
      </c>
      <c r="E23" s="15" t="s">
        <v>58</v>
      </c>
      <c r="G23" s="42"/>
      <c r="H23" s="43"/>
      <c r="I23" s="45"/>
      <c r="J23" s="15"/>
      <c r="K23" s="15"/>
      <c r="L23" s="15"/>
      <c r="M23" s="15"/>
      <c r="N23" s="15"/>
      <c r="O23" s="106"/>
      <c r="P23" s="15"/>
      <c r="Q23" s="15"/>
    </row>
    <row r="24" spans="2:17" ht="15.9" customHeight="1" x14ac:dyDescent="0.3">
      <c r="B24" s="42">
        <v>2015</v>
      </c>
      <c r="C24" s="14" t="s">
        <v>59</v>
      </c>
      <c r="D24" s="45">
        <v>632</v>
      </c>
      <c r="E24" s="15" t="s">
        <v>58</v>
      </c>
      <c r="G24" s="42"/>
      <c r="H24" s="14"/>
      <c r="I24" s="45"/>
      <c r="J24" s="15"/>
      <c r="K24" s="15"/>
      <c r="L24" s="15"/>
      <c r="M24" s="15"/>
      <c r="N24" s="15"/>
      <c r="O24" s="106"/>
      <c r="P24" s="15"/>
      <c r="Q24" s="15"/>
    </row>
    <row r="25" spans="2:17" ht="15.9" customHeight="1" x14ac:dyDescent="0.3">
      <c r="B25" s="42">
        <v>2016</v>
      </c>
      <c r="C25" s="43" t="s">
        <v>55</v>
      </c>
      <c r="D25" s="45">
        <v>587</v>
      </c>
      <c r="E25" s="15" t="s">
        <v>58</v>
      </c>
      <c r="G25" s="42"/>
      <c r="H25" s="43"/>
      <c r="I25" s="45"/>
      <c r="J25" s="15"/>
      <c r="K25" s="15"/>
      <c r="L25" s="15"/>
      <c r="M25" s="15"/>
      <c r="N25" s="15"/>
      <c r="O25" s="106"/>
      <c r="P25" s="15"/>
      <c r="Q25" s="15"/>
    </row>
    <row r="26" spans="2:17" ht="15.9" customHeight="1" x14ac:dyDescent="0.3">
      <c r="B26" s="42">
        <v>2017</v>
      </c>
      <c r="C26" s="43" t="s">
        <v>53</v>
      </c>
      <c r="D26" s="45">
        <v>899</v>
      </c>
      <c r="E26" s="15" t="s">
        <v>57</v>
      </c>
      <c r="G26" s="42"/>
      <c r="H26" s="43"/>
      <c r="I26" s="45"/>
      <c r="J26" s="15"/>
      <c r="K26" s="15"/>
      <c r="L26" s="15"/>
      <c r="M26" s="15"/>
      <c r="N26" s="15"/>
      <c r="O26" s="106"/>
      <c r="P26" s="15"/>
      <c r="Q26" s="15"/>
    </row>
    <row r="27" spans="2:17" ht="15.9" customHeight="1" x14ac:dyDescent="0.3">
      <c r="B27" s="42">
        <v>2018</v>
      </c>
      <c r="C27" s="43" t="s">
        <v>62</v>
      </c>
      <c r="D27" s="45">
        <v>190</v>
      </c>
      <c r="E27" s="15" t="s">
        <v>58</v>
      </c>
      <c r="G27" s="42"/>
      <c r="H27" s="43"/>
      <c r="I27" s="45"/>
      <c r="J27" s="15"/>
      <c r="K27" s="15"/>
      <c r="L27" s="15"/>
      <c r="M27" s="15"/>
      <c r="N27" s="15"/>
      <c r="O27" s="106"/>
      <c r="P27" s="15"/>
      <c r="Q27" s="15"/>
    </row>
    <row r="28" spans="2:17" ht="15.9" customHeight="1" x14ac:dyDescent="0.3">
      <c r="B28" s="42">
        <v>2019</v>
      </c>
      <c r="C28" s="43" t="s">
        <v>49</v>
      </c>
      <c r="D28" s="45">
        <v>115</v>
      </c>
      <c r="E28" s="15" t="s">
        <v>56</v>
      </c>
      <c r="G28" s="42"/>
      <c r="H28" s="43"/>
      <c r="I28" s="45"/>
      <c r="J28" s="15"/>
      <c r="K28" s="15"/>
      <c r="L28" s="15"/>
      <c r="M28" s="15"/>
      <c r="N28" s="15"/>
      <c r="O28" s="106"/>
      <c r="P28" s="15"/>
      <c r="Q28" s="15"/>
    </row>
    <row r="29" spans="2:17" ht="15.9" customHeight="1" x14ac:dyDescent="0.3">
      <c r="B29" s="42">
        <v>2020</v>
      </c>
      <c r="C29" s="14" t="s">
        <v>65</v>
      </c>
      <c r="D29" s="46">
        <v>15</v>
      </c>
      <c r="E29" s="15" t="s">
        <v>57</v>
      </c>
      <c r="G29" s="42"/>
      <c r="H29" s="14"/>
      <c r="I29" s="46"/>
      <c r="J29" s="15"/>
      <c r="K29" s="15"/>
      <c r="L29" s="15"/>
      <c r="M29" s="15"/>
      <c r="N29" s="15"/>
      <c r="O29" s="106"/>
      <c r="P29" s="15"/>
      <c r="Q29" s="15"/>
    </row>
    <row r="30" spans="2:17" ht="15.9" customHeight="1" x14ac:dyDescent="0.3">
      <c r="B30" s="42">
        <v>2021</v>
      </c>
      <c r="C30" s="14" t="s">
        <v>66</v>
      </c>
      <c r="D30" s="46">
        <v>10</v>
      </c>
      <c r="E30" s="15" t="s">
        <v>57</v>
      </c>
      <c r="G30" s="42"/>
      <c r="H30" s="14"/>
      <c r="I30" s="46"/>
      <c r="J30" s="15"/>
      <c r="K30" s="15"/>
      <c r="L30" s="15"/>
      <c r="M30" s="15"/>
      <c r="N30" s="15"/>
      <c r="O30" s="106"/>
      <c r="P30" s="15"/>
      <c r="Q30" s="15"/>
    </row>
    <row r="31" spans="2:17" ht="15.9" customHeight="1" x14ac:dyDescent="0.3">
      <c r="B31" s="42">
        <v>2022</v>
      </c>
      <c r="C31" t="s">
        <v>68</v>
      </c>
      <c r="D31" s="46">
        <v>3890</v>
      </c>
      <c r="E31" s="15" t="s">
        <v>58</v>
      </c>
      <c r="G31" s="42"/>
      <c r="I31" s="46"/>
      <c r="J31" s="15"/>
      <c r="K31" s="15"/>
      <c r="L31" s="15"/>
      <c r="M31" s="15"/>
      <c r="N31" s="15"/>
      <c r="O31" s="106"/>
      <c r="P31" s="15"/>
      <c r="Q31" s="15"/>
    </row>
    <row r="32" spans="2:17" ht="15.9" customHeight="1" x14ac:dyDescent="0.3">
      <c r="B32" s="42">
        <v>2023</v>
      </c>
      <c r="C32" s="14" t="s">
        <v>69</v>
      </c>
      <c r="D32" s="46">
        <v>180</v>
      </c>
      <c r="E32" s="15" t="s">
        <v>56</v>
      </c>
      <c r="G32" s="42"/>
      <c r="H32" s="14"/>
      <c r="I32" s="46"/>
      <c r="J32" s="15"/>
      <c r="K32" s="15"/>
      <c r="L32" s="15"/>
      <c r="M32" s="15"/>
      <c r="N32" s="15"/>
      <c r="O32" s="106"/>
      <c r="P32" s="15"/>
      <c r="Q32" s="15"/>
    </row>
    <row r="33" spans="2:17" ht="15.9" customHeight="1" x14ac:dyDescent="0.3">
      <c r="B33" s="42">
        <v>2024</v>
      </c>
      <c r="C33" s="14" t="s">
        <v>67</v>
      </c>
      <c r="D33" s="46">
        <v>660</v>
      </c>
      <c r="E33" s="15" t="s">
        <v>57</v>
      </c>
      <c r="G33" s="42"/>
      <c r="H33" s="14"/>
      <c r="I33" s="46"/>
      <c r="J33" s="15"/>
      <c r="K33" s="15"/>
      <c r="L33" s="15"/>
      <c r="M33" s="15"/>
      <c r="N33" s="15"/>
      <c r="O33" s="106"/>
      <c r="P33" s="15"/>
      <c r="Q33" s="15"/>
    </row>
    <row r="34" spans="2:17" ht="15.9" customHeight="1" thickBot="1" x14ac:dyDescent="0.35">
      <c r="B34" s="44">
        <v>2025</v>
      </c>
      <c r="C34" s="14" t="s">
        <v>70</v>
      </c>
      <c r="D34" s="47">
        <v>899</v>
      </c>
      <c r="E34" s="16" t="s">
        <v>58</v>
      </c>
      <c r="G34" s="44"/>
      <c r="H34" s="14"/>
      <c r="I34" s="47"/>
      <c r="J34" s="16"/>
      <c r="K34" s="16"/>
      <c r="L34" s="16"/>
      <c r="M34" s="16"/>
      <c r="N34" s="16"/>
      <c r="O34" s="107"/>
      <c r="P34" s="16"/>
      <c r="Q34" s="1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Gráficos</vt:lpstr>
      </vt:variant>
      <vt:variant>
        <vt:i4>1</vt:i4>
      </vt:variant>
    </vt:vector>
  </HeadingPairs>
  <TitlesOfParts>
    <vt:vector size="9" baseType="lpstr">
      <vt:lpstr>HOME</vt:lpstr>
      <vt:lpstr>VENDAS</vt:lpstr>
      <vt:lpstr>APURAÇÃO SUBTOTAIS</vt:lpstr>
      <vt:lpstr>CONSOLIDAÇÃO VALORES</vt:lpstr>
      <vt:lpstr>TABELA DINÂMICA</vt:lpstr>
      <vt:lpstr>Dinâmica Tabela</vt:lpstr>
      <vt:lpstr>DADOS GRÁFICO</vt:lpstr>
      <vt:lpstr>PEDIDOS</vt:lpstr>
      <vt:lpstr>Paragráfico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João Vitor Cucomo</cp:lastModifiedBy>
  <dcterms:created xsi:type="dcterms:W3CDTF">2011-05-09T13:39:36Z</dcterms:created>
  <dcterms:modified xsi:type="dcterms:W3CDTF">2020-08-17T21:58:19Z</dcterms:modified>
</cp:coreProperties>
</file>